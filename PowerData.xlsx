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3a8c14562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eLoad" sheetId="1" r:id="R0f39888d509f4936"/>
    <x:sheet xmlns:r="http://schemas.openxmlformats.org/officeDocument/2006/relationships" name="ReactiveLoad" sheetId="2" r:id="Rf6eba1627b7141c4"/>
    <x:sheet xmlns:r="http://schemas.openxmlformats.org/officeDocument/2006/relationships" name="Line" sheetId="3" r:id="Rf07e81f7979644ca"/>
    <x:sheet xmlns:r="http://schemas.openxmlformats.org/officeDocument/2006/relationships" name="P_dgMax" sheetId="4" r:id="R1259e205270c4595"/>
    <x:sheet xmlns:r="http://schemas.openxmlformats.org/officeDocument/2006/relationships" name="P_dgMin" sheetId="5" r:id="Rfea39a1009b14bfa"/>
    <x:sheet xmlns:r="http://schemas.openxmlformats.org/officeDocument/2006/relationships" name="S_dgMax" sheetId="6" r:id="Re44f9926df0b4571"/>
    <x:sheet xmlns:r="http://schemas.openxmlformats.org/officeDocument/2006/relationships" name="sop" sheetId="7" r:id="R5c1cd9d7d0c94882"/>
    <x:sheet xmlns:r="http://schemas.openxmlformats.org/officeDocument/2006/relationships" name="Wind" sheetId="8" r:id="R36fde1e0f8bc4001"/>
    <x:sheet xmlns:r="http://schemas.openxmlformats.org/officeDocument/2006/relationships" name="PV" sheetId="9" r:id="R7752eea001ac4391"/>
    <x:sheet xmlns:r="http://schemas.openxmlformats.org/officeDocument/2006/relationships" name="node_weight" sheetId="10" r:id="R806c46c7e0b446c4"/>
    <x:sheet xmlns:r="http://schemas.openxmlformats.org/officeDocument/2006/relationships" name="ReactiveComp" sheetId="11" r:id="R8e84aecd3ad3497d"/>
    <x:sheet xmlns:r="http://schemas.openxmlformats.org/officeDocument/2006/relationships" name="GridImportCap" sheetId="12" r:id="R65dbb800a31d4ed5"/>
    <x:sheet xmlns:r="http://schemas.openxmlformats.org/officeDocument/2006/relationships" name="model_notes" sheetId="13" r:id="Ra03f37c4922c4628"/>
    <x:sheet xmlns:r="http://schemas.openxmlformats.org/officeDocument/2006/relationships" name="model_parameters" sheetId="14" r:id="Rc33120d1530d416a"/>
    <x:sheet xmlns:r="http://schemas.openxmlformats.org/officeDocument/2006/relationships" name="load_parameters" sheetId="15" r:id="R6d5fa656586f43f5"/>
    <x:sheet xmlns:r="http://schemas.openxmlformats.org/officeDocument/2006/relationships" name="DGOperating" sheetId="16" r:id="Rade1bf1b396f47cb"/>
    <x:sheet xmlns:r="http://schemas.openxmlformats.org/officeDocument/2006/relationships" name="Storage" sheetId="17" r:id="R3011b5728bd64078"/>
    <x:sheet xmlns:r="http://schemas.openxmlformats.org/officeDocument/2006/relationships" name="RenewableScenarios" sheetId="18" r:id="R291102bc4c824a64"/>
    <x:sheet xmlns:r="http://schemas.openxmlformats.org/officeDocument/2006/relationships" name="RenewableRatings" sheetId="19" r:id="R555305c3872e4ca9"/>
  </x:sheets>
</x:workbook>
</file>

<file path=xl/sharedStrings.xml><?xml version="1.0" encoding="utf-8"?>
<x:sst xmlns:x="http://schemas.openxmlformats.org/spreadsheetml/2006/main">
  <x:si>
    <x:t xml:space="preserve">Node</x:t>
  </x:si>
  <x:si>
    <x:t xml:space="preserve">t=0 (MW)</x:t>
  </x:si>
  <x:si>
    <x:t xml:space="preserve">t=1 (MW)</x:t>
  </x:si>
  <x:si>
    <x:t xml:space="preserve">t=2 (MW)</x:t>
  </x:si>
  <x:si>
    <x:t xml:space="preserve">t=3 (MW)</x:t>
  </x:si>
  <x:si>
    <x:t xml:space="preserve">t=4 (MW)</x:t>
  </x:si>
  <x:si>
    <x:t xml:space="preserve">t=5 (MW)</x:t>
  </x:si>
  <x:si>
    <x:t xml:space="preserve">t=6 (MW)</x:t>
  </x:si>
  <x:si>
    <x:t xml:space="preserve">t=7 (MW)</x:t>
  </x:si>
  <x:si>
    <x:t xml:space="preserve">t=8 (MW)</x:t>
  </x:si>
  <x:si>
    <x:t xml:space="preserve">t=9 (MW)</x:t>
  </x:si>
  <x:si>
    <x:t xml:space="preserve">t=10 (MW)</x:t>
  </x:si>
  <x:si>
    <x:t xml:space="preserve">t=11 (MW)</x:t>
  </x:si>
  <x:si>
    <x:t xml:space="preserve">t=12 (MW)</x:t>
  </x:si>
  <x:si>
    <x:t xml:space="preserve">t=13 (MW)</x:t>
  </x:si>
  <x:si>
    <x:t xml:space="preserve">t=14 (MW)</x:t>
  </x:si>
  <x:si>
    <x:t xml:space="preserve">t=15 (MW)</x:t>
  </x:si>
  <x:si>
    <x:t xml:space="preserve">t=16 (MW)</x:t>
  </x:si>
  <x:si>
    <x:t xml:space="preserve">t=17 (MW)</x:t>
  </x:si>
  <x:si>
    <x:t xml:space="preserve">t=18 (MW)</x:t>
  </x:si>
  <x:si>
    <x:t xml:space="preserve">t=19 (MW)</x:t>
  </x:si>
  <x:si>
    <x:t xml:space="preserve">t=20 (MW)</x:t>
  </x:si>
  <x:si>
    <x:t xml:space="preserve">t=21 (MW)</x:t>
  </x:si>
  <x:si>
    <x:t xml:space="preserve">t=22 (MW)</x:t>
  </x:si>
  <x:si>
    <x:t xml:space="preserve">t=23 (MW)</x:t>
  </x:si>
  <x:si>
    <x:t xml:space="preserve">From node</x:t>
  </x:si>
  <x:si>
    <x:t xml:space="preserve">To node</x:t>
  </x:si>
  <x:si>
    <x:t xml:space="preserve">Resistance (Ω)</x:t>
  </x:si>
  <x:si>
    <x:t xml:space="preserve">Reactance (Ω)</x:t>
  </x:si>
  <x:si>
    <x:t xml:space="preserve">P_lineMax(MW)</x:t>
  </x:si>
  <x:si>
    <x:t xml:space="preserve">P_lineMin(MW)</x:t>
  </x:si>
  <x:si>
    <x:t xml:space="preserve">Q_lineMax(MW)</x:t>
  </x:si>
  <x:si>
    <x:t xml:space="preserve">Q_lineMin(MW)</x:t>
  </x:si>
  <x:si>
    <x:t xml:space="preserve">S_line(MW)</x:t>
  </x:si>
  <x:si>
    <x:t xml:space="preserve">Line type: 0 = switchable/tie candidate; -1 = SOP; 1 = fixed</x:t>
  </x:si>
  <x:si>
    <x:t xml:space="preserve">Initial status: 0 = open; 1 = closed</x:t>
  </x:si>
  <x:si>
    <x:t xml:space="preserve">Device ID</x:t>
  </x:si>
  <x:si>
    <x:t xml:space="preserve">Node</x:t>
  </x:si>
  <x:si>
    <x:t xml:space="preserve">SOP ID</x:t>
  </x:si>
  <x:si>
    <x:t xml:space="preserve">Capacity limit (MVA)</x:t>
  </x:si>
  <x:si>
    <x:t xml:space="preserve">Loss factor</x:t>
  </x:si>
  <x:si>
    <x:t xml:space="preserve">Max reactive power</x:t>
  </x:si>
  <x:si>
    <x:t xml:space="preserve">Min reactive power</x:t>
  </x:si>
  <x:si>
    <x:t xml:space="preserve">node</x:t>
  </x:si>
  <x:si>
    <x:t xml:space="preserve">q_max_mvar</x:t>
  </x:si>
  <x:si>
    <x:t xml:space="preserve">q_min_mvar</x:t>
  </x:si>
  <x:si>
    <x:t xml:space="preserve">time</x:t>
  </x:si>
  <x:si>
    <x:t xml:space="preserve">cap_mw</x:t>
  </x:si>
  <x:si>
    <x:t xml:space="preserve">ratio</x:t>
  </x:si>
</x:sst>
</file>

<file path=xl/styles.xml><?xml version="1.0" encoding="utf-8"?>
<x:styleSheet xmlns:x="http://schemas.openxmlformats.org/spreadsheetml/2006/main">
  <x:numFmts count="11">
    <x:numFmt numFmtId="164" formatCode="0.000000"/>
    <x:numFmt numFmtId="165" formatCode="0.0000"/>
    <x:numFmt numFmtId="166" formatCode="0.00"/>
    <x:numFmt numFmtId="167" formatCode="0.000000"/>
    <x:numFmt numFmtId="168" formatCode="0.0000"/>
    <x:numFmt numFmtId="169" formatCode="0.00"/>
    <x:numFmt numFmtId="170" formatCode="0%"/>
    <x:numFmt numFmtId="171" formatCode="0.000000"/>
    <x:numFmt numFmtId="172" formatCode="0.0000"/>
    <x:numFmt numFmtId="173" formatCode="0.00"/>
    <x:numFmt numFmtId="174" formatCode="0%"/>
  </x:numFmts>
  <x:fonts count="32">
    <x:font>
      <x:sz val="11"/>
      <x:color theme="1"/>
      <x:name val="SimSun"/>
    </x:font>
    <x:font>
      <x:b/>
      <x:sz val="11"/>
      <x:name val="SimSun"/>
    </x:font>
    <x:font>
      <x:sz val="9"/>
      <x:name val="SimSun"/>
    </x:font>
    <x:font>
      <x:sz val="11"/>
      <x:color theme="1"/>
      <x:name val="SimSun"/>
    </x:font>
    <x:font>
      <x:b/>
      <x:sz val="11"/>
      <x:name val="SimSun"/>
    </x:font>
    <x:font>
      <x:sz val="9"/>
      <x:name val="SimSun"/>
    </x:font>
    <x:font>
      <x:sz val="11"/>
      <x:color theme="1"/>
      <x:name val="Arial"/>
    </x:font>
    <x:font>
      <x:b/>
      <x:sz val="11"/>
      <x:color rgb="FFFFFFFF"/>
      <x:name val="Arial"/>
    </x:font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theme="1"/>
      <x:name val="SimSun"/>
    </x:font>
    <x:font>
      <x:b/>
      <x:sz val="11"/>
      <x:name val="SimSun"/>
    </x:font>
    <x:font>
      <x:sz val="9"/>
      <x:name val="SimSun"/>
    </x:font>
    <x:font>
      <x:sz val="11"/>
      <x:color theme="1"/>
      <x:name val="SimSun"/>
    </x:font>
    <x:font>
      <x:b/>
      <x:sz val="11"/>
      <x:name val="SimSun"/>
    </x:font>
    <x:font>
      <x:sz val="9"/>
      <x:name val="SimSun"/>
    </x:font>
    <x:font>
      <x:sz val="11"/>
      <x:color theme="1"/>
      <x:name val="Arial"/>
    </x:font>
    <x:font>
      <x:b/>
      <x:sz val="11"/>
      <x:color rgb="FFFFFFFF"/>
      <x:name val="Arial"/>
    </x:font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theme="1"/>
      <x:name val="Microsoft YaHei"/>
    </x:font>
    <x:font>
      <x:b/>
      <x:sz val="11"/>
      <x:color rgb="FFFFFFFF"/>
      <x:name val="Microsoft YaHei"/>
    </x:font>
    <x:font>
      <x:sz val="11"/>
      <x:name val="Microsoft YaHei"/>
    </x:font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  <x:font>
      <x:sz val="10"/>
      <x:color theme="1"/>
      <x:name val="Arial"/>
    </x:font>
    <x:font>
      <x:b/>
      <x:sz val="10"/>
      <x:color theme="1"/>
      <x:name val="Arial"/>
    </x:font>
    <x:font>
      <x:b/>
      <x:sz val="10"/>
      <x:color rgb="FFFFFFFF"/>
      <x:name val="Arial"/>
    </x:font>
    <x:font>
      <x:sz val="10"/>
      <x:name val="Arial"/>
    </x:font>
  </x:fonts>
  <x:fills count="29">
    <x:fill>
      <x:patternFill patternType="none"/>
    </x:fill>
    <x:fill>
      <x:patternFill patternType="gray125"/>
    </x:fill>
    <x:fill>
      <x:patternFill patternType="solid">
        <x:fgColor theme="5" tint="0.79998"/>
      </x:patternFill>
    </x:fill>
    <x:fill>
      <x:patternFill patternType="solid">
        <x:fgColor rgb="FFFFFF00"/>
      </x:patternFill>
    </x:fill>
    <x:fill>
      <x:patternFill patternType="none"/>
    </x:fill>
    <x:fill>
      <x:patternFill patternType="gray125"/>
    </x:fill>
    <x:fill>
      <x:patternFill patternType="solid">
        <x:fgColor theme="5" tint="0.79998"/>
      </x:patternFill>
    </x:fill>
    <x:fill>
      <x:patternFill patternType="solid">
        <x:fgColor rgb="FFFFFF00"/>
      </x:patternFill>
    </x:fill>
    <x:fill>
      <x:patternFill patternType="solid">
        <x:fgColor rgb="FF243B53"/>
      </x:patternFill>
    </x:fill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none"/>
    </x:fill>
    <x:fill>
      <x:patternFill patternType="gray125"/>
    </x:fill>
    <x:fill>
      <x:patternFill patternType="solid">
        <x:fgColor theme="5" tint="0.79998"/>
      </x:patternFill>
    </x:fill>
    <x:fill>
      <x:patternFill patternType="solid">
        <x:fgColor rgb="FFFFFF00"/>
      </x:patternFill>
    </x:fill>
    <x:fill>
      <x:patternFill patternType="none"/>
    </x:fill>
    <x:fill>
      <x:patternFill patternType="gray125"/>
    </x:fill>
    <x:fill>
      <x:patternFill patternType="solid">
        <x:fgColor theme="5" tint="0.79998"/>
      </x:patternFill>
    </x:fill>
    <x:fill>
      <x:patternFill patternType="solid">
        <x:fgColor rgb="FFFFFF00"/>
      </x:patternFill>
    </x:fill>
    <x:fill>
      <x:patternFill patternType="solid">
        <x:fgColor rgb="FF243B53"/>
      </x:patternFill>
    </x:fill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243B53"/>
      </x:patternFill>
    </x:fill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9EEF5"/>
      </x:patternFill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/>
  </x:borders>
  <x:cellStyleXfs count="7">
    <x:xf numFmtId="0" fontId="0" fillId="0" borderId="0"/>
    <x:xf numFmtId="0" fontId="3" fillId="4" borderId="2"/>
    <x:xf numFmtId="0" fontId="8" fillId="9" borderId="4"/>
    <x:xf numFmtId="0" fontId="11" fillId="12" borderId="5"/>
    <x:xf numFmtId="0" fontId="14" fillId="16" borderId="7"/>
    <x:xf numFmtId="0" fontId="19" fillId="21" borderId="9"/>
    <x:xf numFmtId="0" fontId="25" fillId="25" borderId="10"/>
  </x:cellStyleXfs>
  <x:cellXfs count="77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2" borderId="0" xfId="0" applyFill="1"/>
    <x:xf numFmtId="0" fontId="0" fillId="3" borderId="0" xfId="0" applyFill="1"/>
    <x:xf numFmtId="0" fontId="3" fillId="4" borderId="2" xfId="1"/>
    <x:xf numFmtId="0" fontId="4" fillId="4" borderId="3" xfId="1" applyFont="1" applyBorder="1" applyAlignment="1">
      <x:alignment horizontal="center" vertical="top"/>
    </x:xf>
    <x:xf numFmtId="0" fontId="3" fillId="6" borderId="2" xfId="1" applyFill="1"/>
    <x:xf numFmtId="0" fontId="3" fillId="7" borderId="2" xfId="1" applyFill="1"/>
    <x:xf numFmtId="0" fontId="6" fillId="4" borderId="2" xfId="1" applyNumberFormat="1" applyFont="1" applyFill="1" applyBorder="1"/>
    <x:xf numFmtId="0" fontId="6" fillId="8" borderId="2" xfId="1" applyNumberFormat="1" applyFont="1" applyFill="1" applyBorder="1"/>
    <x:xf numFmtId="0" fontId="7" fillId="8" borderId="2" xfId="1" applyNumberFormat="1" applyFont="1" applyFill="1" applyBorder="1"/>
    <x:xf numFmtId="0" fontId="7" fillId="8" borderId="2" xfId="1" applyNumberFormat="1" applyFont="1" applyFill="1" applyBorder="1" applyAlignment="1">
      <x:alignment wrapText="1"/>
    </x:xf>
    <x:xf numFmtId="0" fontId="6" fillId="4" borderId="2" xfId="1" applyNumberFormat="1" applyFont="1" applyFill="1" applyBorder="1" applyAlignment="1">
      <x:alignment wrapText="1"/>
    </x:xf>
    <x:xf numFmtId="0" fontId="7" fillId="8" borderId="2" xfId="1" applyNumberFormat="1" applyFont="1" applyFill="1" applyBorder="1" applyAlignment="1">
      <x:alignment vertical="center" wrapText="1"/>
    </x:xf>
    <x:xf numFmtId="0" fontId="6" fillId="4" borderId="2" xfId="1" applyNumberFormat="1" applyFont="1" applyFill="1" applyBorder="1" applyAlignment="1">
      <x:alignment vertical="center" wrapText="1"/>
    </x:xf>
    <x:xf numFmtId="0" fontId="8" fillId="9" borderId="4" xfId="2"/>
    <x:xf numFmtId="0" fontId="9" fillId="9" borderId="4" xfId="2" applyNumberFormat="1" applyFont="1" applyFill="1" applyBorder="1"/>
    <x:xf numFmtId="0" fontId="9" fillId="9" borderId="4" xfId="2" applyNumberFormat="1" applyFont="1" applyFill="1" applyBorder="1" applyAlignment="1">
      <x:alignment vertical="center"/>
    </x:xf>
    <x:xf numFmtId="0" fontId="9" fillId="9" borderId="4" xfId="2" applyNumberFormat="1" applyFont="1" applyFill="1" applyBorder="1" applyAlignment="1">
      <x:alignment vertical="center" wrapText="1"/>
    </x:xf>
    <x:xf numFmtId="0" fontId="9" fillId="11" borderId="4" xfId="2" applyNumberFormat="1" applyFont="1" applyFill="1" applyBorder="1" applyAlignment="1">
      <x:alignment vertical="center" wrapText="1"/>
    </x:xf>
    <x:xf numFmtId="0" fontId="10" fillId="11" borderId="4" xfId="2" applyNumberFormat="1" applyFont="1" applyFill="1" applyBorder="1" applyAlignment="1">
      <x:alignment vertical="center" wrapText="1"/>
    </x:xf>
    <x:xf numFmtId="164" fontId="9" fillId="9" borderId="4" xfId="2" applyNumberFormat="1" applyFont="1" applyFill="1" applyBorder="1" applyAlignment="1">
      <x:alignment vertical="center" wrapText="1"/>
    </x:xf>
    <x:xf numFmtId="165" fontId="9" fillId="9" borderId="4" xfId="2" applyNumberFormat="1" applyFont="1" applyFill="1" applyBorder="1" applyAlignment="1">
      <x:alignment vertical="center" wrapText="1"/>
    </x:xf>
    <x:xf numFmtId="166" fontId="9" fillId="9" borderId="4" xfId="2" applyNumberFormat="1" applyFont="1" applyFill="1" applyBorder="1" applyAlignment="1">
      <x:alignment vertical="center" wrapText="1"/>
    </x:xf>
    <x:xf numFmtId="0" fontId="11" fillId="12" borderId="5" xfId="3"/>
    <x:xf numFmtId="0" fontId="12" fillId="12" borderId="6" xfId="3" applyFont="1" applyBorder="1" applyAlignment="1">
      <x:alignment horizontal="center" vertical="top"/>
    </x:xf>
    <x:xf numFmtId="0" fontId="11" fillId="14" borderId="5" xfId="3" applyFill="1"/>
    <x:xf numFmtId="0" fontId="11" fillId="15" borderId="5" xfId="3" applyFill="1"/>
    <x:xf numFmtId="0" fontId="14" fillId="16" borderId="7" xfId="4"/>
    <x:xf numFmtId="0" fontId="15" fillId="16" borderId="8" xfId="4" applyFont="1" applyBorder="1" applyAlignment="1">
      <x:alignment horizontal="center" vertical="top"/>
    </x:xf>
    <x:xf numFmtId="0" fontId="14" fillId="18" borderId="7" xfId="4" applyFill="1"/>
    <x:xf numFmtId="0" fontId="14" fillId="19" borderId="7" xfId="4" applyFill="1"/>
    <x:xf numFmtId="0" fontId="17" fillId="16" borderId="7" xfId="4" applyNumberFormat="1" applyFont="1" applyFill="1" applyBorder="1"/>
    <x:xf numFmtId="0" fontId="17" fillId="20" borderId="7" xfId="4" applyNumberFormat="1" applyFont="1" applyFill="1" applyBorder="1"/>
    <x:xf numFmtId="0" fontId="18" fillId="20" borderId="7" xfId="4" applyNumberFormat="1" applyFont="1" applyFill="1" applyBorder="1"/>
    <x:xf numFmtId="0" fontId="18" fillId="20" borderId="7" xfId="4" applyNumberFormat="1" applyFont="1" applyFill="1" applyBorder="1" applyAlignment="1">
      <x:alignment wrapText="1"/>
    </x:xf>
    <x:xf numFmtId="0" fontId="17" fillId="16" borderId="7" xfId="4" applyNumberFormat="1" applyFont="1" applyFill="1" applyBorder="1" applyAlignment="1">
      <x:alignment wrapText="1"/>
    </x:xf>
    <x:xf numFmtId="0" fontId="18" fillId="20" borderId="7" xfId="4" applyNumberFormat="1" applyFont="1" applyFill="1" applyBorder="1" applyAlignment="1">
      <x:alignment vertical="center" wrapText="1"/>
    </x:xf>
    <x:xf numFmtId="0" fontId="17" fillId="16" borderId="7" xfId="4" applyNumberFormat="1" applyFont="1" applyFill="1" applyBorder="1" applyAlignment="1">
      <x:alignment vertical="center" wrapText="1"/>
    </x:xf>
    <x:xf numFmtId="0" fontId="19" fillId="21" borderId="9" xfId="5"/>
    <x:xf numFmtId="0" fontId="20" fillId="21" borderId="9" xfId="5" applyNumberFormat="1" applyFont="1" applyFill="1" applyBorder="1"/>
    <x:xf numFmtId="0" fontId="20" fillId="21" borderId="9" xfId="5" applyNumberFormat="1" applyFont="1" applyFill="1" applyBorder="1" applyAlignment="1">
      <x:alignment vertical="center"/>
    </x:xf>
    <x:xf numFmtId="0" fontId="20" fillId="21" borderId="9" xfId="5" applyNumberFormat="1" applyFont="1" applyFill="1" applyBorder="1" applyAlignment="1">
      <x:alignment vertical="center" wrapText="1"/>
    </x:xf>
    <x:xf numFmtId="0" fontId="20" fillId="23" borderId="9" xfId="5" applyNumberFormat="1" applyFont="1" applyFill="1" applyBorder="1" applyAlignment="1">
      <x:alignment vertical="center" wrapText="1"/>
    </x:xf>
    <x:xf numFmtId="0" fontId="21" fillId="23" borderId="9" xfId="5" applyNumberFormat="1" applyFont="1" applyFill="1" applyBorder="1" applyAlignment="1">
      <x:alignment vertical="center" wrapText="1"/>
    </x:xf>
    <x:xf numFmtId="167" fontId="20" fillId="21" borderId="9" xfId="5" applyNumberFormat="1" applyFont="1" applyFill="1" applyBorder="1" applyAlignment="1">
      <x:alignment vertical="center" wrapText="1"/>
    </x:xf>
    <x:xf numFmtId="168" fontId="20" fillId="21" borderId="9" xfId="5" applyNumberFormat="1" applyFont="1" applyFill="1" applyBorder="1" applyAlignment="1">
      <x:alignment vertical="center" wrapText="1"/>
    </x:xf>
    <x:xf numFmtId="169" fontId="20" fillId="21" borderId="9" xfId="5" applyNumberFormat="1" applyFont="1" applyFill="1" applyBorder="1" applyAlignment="1">
      <x:alignment vertical="center" wrapText="1"/>
    </x:xf>
    <x:xf numFmtId="0" fontId="22" fillId="12" borderId="5" xfId="3" applyNumberFormat="1" applyFont="1" applyFill="1" applyBorder="1"/>
    <x:xf numFmtId="0" fontId="22" fillId="12" borderId="5" xfId="3" applyNumberFormat="1" applyFont="1" applyFill="1" applyBorder="1" applyAlignment="1">
      <x:alignment wrapText="1"/>
    </x:xf>
    <x:xf numFmtId="0" fontId="22" fillId="12" borderId="5" xfId="3" applyNumberFormat="1" applyFont="1" applyFill="1" applyBorder="1" applyAlignment="1">
      <x:alignment vertical="center" wrapText="1"/>
    </x:xf>
    <x:xf numFmtId="0" fontId="22" fillId="24" borderId="5" xfId="3" applyNumberFormat="1" applyFont="1" applyFill="1" applyBorder="1" applyAlignment="1">
      <x:alignment vertical="center" wrapText="1"/>
    </x:xf>
    <x:xf numFmtId="0" fontId="23" fillId="24" borderId="5" xfId="3" applyNumberFormat="1" applyFont="1" applyFill="1" applyBorder="1" applyAlignment="1">
      <x:alignment vertical="center" wrapText="1"/>
    </x:xf>
    <x:xf numFmtId="170" fontId="22" fillId="12" borderId="5" xfId="3" applyNumberFormat="1" applyFont="1" applyFill="1" applyBorder="1" applyAlignment="1">
      <x:alignment vertical="center" wrapText="1"/>
    </x:xf>
    <x:xf numFmtId="0" fontId="24" fillId="12" borderId="7" xfId="3" applyNumberFormat="1" applyFont="1" applyFill="1" applyBorder="1" applyAlignment="1">
      <x:alignment vertical="center" wrapText="1"/>
    </x:xf>
    <x:xf numFmtId="0" fontId="23" fillId="20" borderId="7" xfId="3" applyNumberFormat="1" applyFont="1" applyFill="1" applyBorder="1" applyAlignment="1">
      <x:alignment vertical="center" wrapText="1"/>
    </x:xf>
    <x:xf numFmtId="0" fontId="25" fillId="25" borderId="10" xfId="6"/>
    <x:xf numFmtId="0" fontId="26" fillId="25" borderId="10" xfId="6" applyNumberFormat="1" applyFont="1" applyFill="1" applyBorder="1"/>
    <x:xf numFmtId="0" fontId="26" fillId="25" borderId="10" xfId="6" applyNumberFormat="1" applyFont="1" applyFill="1" applyBorder="1" applyAlignment="1">
      <x:alignment wrapText="1"/>
    </x:xf>
    <x:xf numFmtId="0" fontId="26" fillId="25" borderId="10" xfId="6" applyNumberFormat="1" applyFont="1" applyFill="1" applyBorder="1" applyAlignment="1">
      <x:alignment vertical="center" wrapText="1"/>
    </x:xf>
    <x:xf numFmtId="0" fontId="26" fillId="27" borderId="10" xfId="6" applyNumberFormat="1" applyFont="1" applyFill="1" applyBorder="1" applyAlignment="1">
      <x:alignment vertical="center" wrapText="1"/>
    </x:xf>
    <x:xf numFmtId="0" fontId="27" fillId="27" borderId="10" xfId="6" applyNumberFormat="1" applyFont="1" applyFill="1" applyBorder="1" applyAlignment="1">
      <x:alignment vertical="center" wrapText="1"/>
    </x:xf>
    <x:xf numFmtId="171" fontId="26" fillId="25" borderId="10" xfId="6" applyNumberFormat="1" applyFont="1" applyFill="1" applyBorder="1" applyAlignment="1">
      <x:alignment vertical="center" wrapText="1"/>
    </x:xf>
    <x:xf numFmtId="172" fontId="26" fillId="25" borderId="10" xfId="6" applyNumberFormat="1" applyFont="1" applyFill="1" applyBorder="1" applyAlignment="1">
      <x:alignment vertical="center" wrapText="1"/>
    </x:xf>
    <x:xf numFmtId="173" fontId="26" fillId="25" borderId="10" xfId="6" applyNumberFormat="1" applyFont="1" applyFill="1" applyBorder="1" applyAlignment="1">
      <x:alignment vertical="center" wrapText="1"/>
    </x:xf>
    <x:xf numFmtId="174" fontId="26" fillId="25" borderId="10" xfId="6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28" fillId="0" borderId="0" xfId="0" applyNumberFormat="1" applyFont="1" applyFill="1" applyBorder="1"/>
    <x:xf numFmtId="0" fontId="29" fillId="0" borderId="0" xfId="0" applyNumberFormat="1" applyFont="1" applyFill="1" applyBorder="1"/>
    <x:xf numFmtId="0" fontId="29" fillId="28" borderId="0" xfId="0" applyNumberFormat="1" applyFont="1" applyFill="1" applyBorder="1"/>
    <x:xf numFmtId="0" fontId="29" fillId="2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30" fillId="8" borderId="0" xfId="0" applyNumberFormat="1" applyFont="1" applyFill="1" applyBorder="1" applyAlignment="1">
      <x:alignment vertical="center" wrapText="1"/>
    </x:xf>
    <x:xf numFmtId="0" fontId="31" fillId="0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de5a39d7a4ec1" /><Relationship Type="http://schemas.openxmlformats.org/officeDocument/2006/relationships/theme" Target="/xl/theme/theme1.xml" Id="R5f243fc386e34513" /><Relationship Type="http://schemas.openxmlformats.org/officeDocument/2006/relationships/sharedStrings" Target="/xl/sharedStrings.xml" Id="Ree60bea9884149de" /><Relationship Type="http://schemas.openxmlformats.org/officeDocument/2006/relationships/worksheet" Target="/xl/worksheets/sheet1.xml" Id="R0f39888d509f4936" /><Relationship Type="http://schemas.openxmlformats.org/officeDocument/2006/relationships/worksheet" Target="/xl/worksheets/sheet2.xml" Id="Rf6eba1627b7141c4" /><Relationship Type="http://schemas.openxmlformats.org/officeDocument/2006/relationships/worksheet" Target="/xl/worksheets/sheet3.xml" Id="Rf07e81f7979644ca" /><Relationship Type="http://schemas.openxmlformats.org/officeDocument/2006/relationships/worksheet" Target="/xl/worksheets/sheet4.xml" Id="R1259e205270c4595" /><Relationship Type="http://schemas.openxmlformats.org/officeDocument/2006/relationships/worksheet" Target="/xl/worksheets/sheet5.xml" Id="Rfea39a1009b14bfa" /><Relationship Type="http://schemas.openxmlformats.org/officeDocument/2006/relationships/worksheet" Target="/xl/worksheets/sheet6.xml" Id="Re44f9926df0b4571" /><Relationship Type="http://schemas.openxmlformats.org/officeDocument/2006/relationships/worksheet" Target="/xl/worksheets/sheet7.xml" Id="R5c1cd9d7d0c94882" /><Relationship Type="http://schemas.openxmlformats.org/officeDocument/2006/relationships/worksheet" Target="/xl/worksheets/sheet8.xml" Id="R36fde1e0f8bc4001" /><Relationship Type="http://schemas.openxmlformats.org/officeDocument/2006/relationships/worksheet" Target="/xl/worksheets/sheet9.xml" Id="R7752eea001ac4391" /><Relationship Type="http://schemas.openxmlformats.org/officeDocument/2006/relationships/worksheet" Target="/xl/worksheets/sheet10.xml" Id="R806c46c7e0b446c4" /><Relationship Type="http://schemas.openxmlformats.org/officeDocument/2006/relationships/worksheet" Target="/xl/worksheets/sheet11.xml" Id="R8e84aecd3ad3497d" /><Relationship Type="http://schemas.openxmlformats.org/officeDocument/2006/relationships/worksheet" Target="/xl/worksheets/sheet12.xml" Id="R65dbb800a31d4ed5" /><Relationship Type="http://schemas.openxmlformats.org/officeDocument/2006/relationships/worksheet" Target="/xl/worksheets/sheet13.xml" Id="Ra03f37c4922c4628" /><Relationship Type="http://schemas.openxmlformats.org/officeDocument/2006/relationships/worksheet" Target="/xl/worksheets/sheet14.xml" Id="Rc33120d1530d416a" /><Relationship Type="http://schemas.openxmlformats.org/officeDocument/2006/relationships/worksheet" Target="/xl/worksheets/sheet15.xml" Id="R6d5fa656586f43f5" /><Relationship Type="http://schemas.openxmlformats.org/officeDocument/2006/relationships/worksheet" Target="/xl/worksheets/sheet16.xml" Id="Rade1bf1b396f47cb" /><Relationship Type="http://schemas.openxmlformats.org/officeDocument/2006/relationships/worksheet" Target="/xl/worksheets/sheet17.xml" Id="R3011b5728bd64078" /><Relationship Type="http://schemas.openxmlformats.org/officeDocument/2006/relationships/worksheet" Target="/xl/worksheets/sheet18.xml" Id="R291102bc4c824a64" /><Relationship Type="http://schemas.openxmlformats.org/officeDocument/2006/relationships/worksheet" Target="/xl/worksheets/sheet19.xml" Id="R555305c3872e4c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</x:row>
    <x:row r="2">
      <x:c r="A2">
        <x:v>0</x:v>
      </x:c>
      <x:c r="B2">
        <x:v>0.59996794426118105</x:v>
      </x:c>
      <x:c r="C2">
        <x:v>0.54844063310997704</x:v>
      </x:c>
      <x:c r="D2">
        <x:v>1.0112238630919601</x:v>
      </x:c>
      <x:c r="E2">
        <x:v>0.97235477044601903</x:v>
      </x:c>
      <x:c r="F2">
        <x:v>1.5482340756192401</x:v>
      </x:c>
      <x:c r="G2">
        <x:v>5.0912088339482797E-2</x:v>
      </x:c>
      <x:c r="H2">
        <x:v>0.162911269922107</x:v>
      </x:c>
      <x:c r="I2">
        <x:v>1.72536960091379</x:v>
      </x:c>
      <x:c r="J2">
        <x:v>1.57033670337168</x:v>
      </x:c>
      <x:c r="K2">
        <x:v>1.8684261755501801</x:v>
      </x:c>
      <x:c r="L2">
        <x:v>3.0616067816651902</x:v>
      </x:c>
      <x:c r="M2">
        <x:v>3.7225408238591302</x:v>
      </x:c>
      <x:c r="N2">
        <x:v>0.84477340831025904</x:v>
      </x:c>
      <x:c r="O2">
        <x:v>4.6795007557725699</x:v>
      </x:c>
      <x:c r="P2">
        <x:v>4.7173659675178001</x:v>
      </x:c>
      <x:c r="Q2">
        <x:v>5.5718440300821799</x:v>
      </x:c>
      <x:c r="R2">
        <x:v>4.5064393732423804</x:v>
      </x:c>
      <x:c r="S2">
        <x:v>0.99838517182160802</x:v>
      </x:c>
      <x:c r="T2">
        <x:v>0.318947316891456</x:v>
      </x:c>
      <x:c r="U2">
        <x:v>0.91580298599857202</x:v>
      </x:c>
      <x:c r="V2">
        <x:v>7.1791137751153505E-2</x:v>
      </x:c>
      <x:c r="W2">
        <x:v>1.7273703737088499</x:v>
      </x:c>
      <x:c r="X2">
        <x:v>1.72536960091379</x:v>
      </x:c>
      <x:c r="Y2">
        <x:v>0.59996794426118105</x:v>
      </x:c>
    </x:row>
    <x:row r="3">
      <x:c r="A3">
        <x:v>1</x:v>
      </x:c>
      <x:c r="B3">
        <x:v>2.2680413119479699</x:v>
      </x:c>
      <x:c r="C3">
        <x:v>1.3176892173998001</x:v>
      </x:c>
      <x:c r="D3">
        <x:v>0.96664409665053896</x:v>
      </x:c>
      <x:c r="E3">
        <x:v>0.321308541733762</x:v>
      </x:c>
      <x:c r="F3">
        <x:v>0.95408796122886896</x:v>
      </x:c>
      <x:c r="G3">
        <x:v>6.6943070113157394E-2</x:v>
      </x:c>
      <x:c r="H3">
        <x:v>0.66923962279160698</x:v>
      </x:c>
      <x:c r="I3">
        <x:v>1.9235284650628399</x:v>
      </x:c>
      <x:c r="J3">
        <x:v>0.60210067362362596</x:v>
      </x:c>
      <x:c r="K3">
        <x:v>0.25496953243263998</x:v>
      </x:c>
      <x:c r="L3">
        <x:v>3.1473770480490701</x:v>
      </x:c>
      <x:c r="M3">
        <x:v>2.1701261148122999</x:v>
      </x:c>
      <x:c r="N3">
        <x:v>4.1053904842410001</x:v>
      </x:c>
      <x:c r="O3">
        <x:v>3.30128945004987</x:v>
      </x:c>
      <x:c r="P3">
        <x:v>2.0520495113120898</x:v>
      </x:c>
      <x:c r="Q3">
        <x:v>1.62539175232601</x:v>
      </x:c>
      <x:c r="R3">
        <x:v>2.6271147131580102</x:v>
      </x:c>
      <x:c r="S3">
        <x:v>4.8519057816961899</x:v>
      </x:c>
      <x:c r="T3">
        <x:v>1.31023582437784</x:v>
      </x:c>
      <x:c r="U3">
        <x:v>3.4619833038044301</x:v>
      </x:c>
      <x:c r="V3">
        <x:v>9.4396425774814899E-2</x:v>
      </x:c>
      <x:c r="W3">
        <x:v>0.66231074098598797</x:v>
      </x:c>
      <x:c r="X3">
        <x:v>1.9235284650628399</x:v>
      </x:c>
      <x:c r="Y3">
        <x:v>2.2680413119479699</x:v>
      </x:c>
    </x:row>
    <x:row r="4">
      <x:c r="A4">
        <x:v>2</x:v>
      </x:c>
      <x:c r="B4">
        <x:v>1.5295978378323301</x:v>
      </x:c>
      <x:c r="C4">
        <x:v>0.18416234990616301</x:v>
      </x:c>
      <x:c r="D4">
        <x:v>1.01482072192063</x:v>
      </x:c>
      <x:c r="E4">
        <x:v>1.1098170973382899</x:v>
      </x:c>
      <x:c r="F4">
        <x:v>0.880549962803996</x:v>
      </x:c>
      <x:c r="G4">
        <x:v>1.18503359680315</x:v>
      </x:c>
      <x:c r="H4">
        <x:v>0.422964932984917</x:v>
      </x:c>
      <x:c r="I4">
        <x:v>1.85025211596477</x:v>
      </x:c>
      <x:c r="J4">
        <x:v>2.0358749590809699</x:v>
      </x:c>
      <x:c r="K4">
        <x:v>1.24958194146193</x:v>
      </x:c>
      <x:c r="L4">
        <x:v>0.70618217481344103</x:v>
      </x:c>
      <x:c r="M4">
        <x:v>3.27348826111949</x:v>
      </x:c>
      <x:c r="N4">
        <x:v>0.71428920456585898</x:v>
      </x:c>
      <x:c r="O4">
        <x:v>3.98940869895433</x:v>
      </x:c>
      <x:c r="P4">
        <x:v>0.462193320801152</x:v>
      </x:c>
      <x:c r="Q4">
        <x:v>0.109699170402969</x:v>
      </x:c>
      <x:c r="R4">
        <x:v>3.9628246097950401</x:v>
      </x:c>
      <x:c r="S4">
        <x:v>0.84417400360321504</x:v>
      </x:c>
      <x:c r="T4">
        <x:v>0.82807979201939597</x:v>
      </x:c>
      <x:c r="U4">
        <x:v>2.33480851879313</x:v>
      </x:c>
      <x:c r="V4">
        <x:v>1.6710159210236799</x:v>
      </x:c>
      <x:c r="W4">
        <x:v>2.2394624549890598</x:v>
      </x:c>
      <x:c r="X4">
        <x:v>1.85025211596477</x:v>
      </x:c>
      <x:c r="Y4">
        <x:v>1.5295978378323301</x:v>
      </x:c>
    </x:row>
    <x:row r="5">
      <x:c r="A5">
        <x:v>3</x:v>
      </x:c>
      <x:c r="B5">
        <x:v>1.00815771617931</x:v>
      </x:c>
      <x:c r="C5">
        <x:v>0.17022907197412299</x:v>
      </x:c>
      <x:c r="D5">
        <x:v>1.1070604183377699</x:v>
      </x:c>
      <x:c r="E5">
        <x:v>1.11778871764655</x:v>
      </x:c>
      <x:c r="F5">
        <x:v>1.01125529400156</x:v>
      </x:c>
      <x:c r="G5">
        <x:v>1.0982973877950399</x:v>
      </x:c>
      <x:c r="H5">
        <x:v>1.1171080958658399</x:v>
      </x:c>
      <x:c r="I5">
        <x:v>1.71886891992749</x:v>
      </x:c>
      <x:c r="J5">
        <x:v>1.6235280308654301</x:v>
      </x:c>
      <x:c r="K5">
        <x:v>0.57014637169468296</x:v>
      </x:c>
      <x:c r="L5">
        <x:v>2.2324994825167299</x:v>
      </x:c>
      <x:c r="M5">
        <x:v>2.9336715339084201</x:v>
      </x:c>
      <x:c r="N5">
        <x:v>0.64220747681750601</x:v>
      </x:c>
      <x:c r="O5">
        <x:v>5.0556419729542599</x:v>
      </x:c>
      <x:c r="P5">
        <x:v>0.11107195847437699</x:v>
      </x:c>
      <x:c r="Q5">
        <x:v>2.3985425642017502</x:v>
      </x:c>
      <x:c r="R5">
        <x:v>3.5514487373330601</x:v>
      </x:c>
      <x:c r="S5">
        <x:v>0.758985090889706</x:v>
      </x:c>
      <x:c r="T5">
        <x:v>2.1870717110270599</x:v>
      </x:c>
      <x:c r="U5">
        <x:v>1.5388719608536101</x:v>
      </x:c>
      <x:c r="V5">
        <x:v>1.5487091893219</x:v>
      </x:c>
      <x:c r="W5">
        <x:v>1.7858808339519801</x:v>
      </x:c>
      <x:c r="X5">
        <x:v>1.71886891992749</x:v>
      </x:c>
      <x:c r="Y5">
        <x:v>1.00815771617931</x:v>
      </x:c>
    </x:row>
    <x:row r="6">
      <x:c r="A6">
        <x:v>4</x:v>
      </x:c>
      <x:c r="B6">
        <x:v>1.51527618403686</x:v>
      </x:c>
      <x:c r="C6">
        <x:v>1.51527618403686</x:v>
      </x:c>
      <x:c r="D6">
        <x:v>1.51527618403686</x:v>
      </x:c>
      <x:c r="E6">
        <x:v>1.51527618403686</x:v>
      </x:c>
      <x:c r="F6">
        <x:v>1.51527618403686</x:v>
      </x:c>
      <x:c r="G6">
        <x:v>1.51527618403686</x:v>
      </x:c>
      <x:c r="H6">
        <x:v>1.5950275621440599</x:v>
      </x:c>
      <x:c r="I6">
        <x:v>1.5950275621440599</x:v>
      </x:c>
      <x:c r="J6">
        <x:v>1.5950275621440599</x:v>
      </x:c>
      <x:c r="K6">
        <x:v>1.5950275621440599</x:v>
      </x:c>
      <x:c r="L6">
        <x:v>1.1165192935008399</x:v>
      </x:c>
      <x:c r="M6">
        <x:v>1.1165192935008399</x:v>
      </x:c>
      <x:c r="N6">
        <x:v>1.1165192935008399</x:v>
      </x:c>
      <x:c r="O6">
        <x:v>1.1165192935008399</x:v>
      </x:c>
      <x:c r="P6">
        <x:v>1.1165192935008399</x:v>
      </x:c>
      <x:c r="Q6">
        <x:v>1.5950275621440599</x:v>
      </x:c>
      <x:c r="R6">
        <x:v>1.5950275621440599</x:v>
      </x:c>
      <x:c r="S6">
        <x:v>2.1532872088944899</x:v>
      </x:c>
      <x:c r="T6">
        <x:v>2.4089719096850799</x:v>
      </x:c>
      <x:c r="U6">
        <x:v>2.2667726633024898</x:v>
      </x:c>
      <x:c r="V6">
        <x:v>2.2491484275251801</x:v>
      </x:c>
      <x:c r="W6">
        <x:v>2.1532872088944899</x:v>
      </x:c>
      <x:c r="X6">
        <x:v>1.5950275621440599</x:v>
      </x:c>
      <x:c r="Y6">
        <x:v>1.5950275621440599</x:v>
      </x:c>
    </x:row>
    <x:row r="7">
      <x:c r="A7">
        <x:v>5</x:v>
      </x:c>
      <x:c r="B7">
        <x:v>1.1377284749435299</x:v>
      </x:c>
      <x:c r="C7">
        <x:v>0.77939118418253905</x:v>
      </x:c>
      <x:c r="D7">
        <x:v>1.3531535056328401</x:v>
      </x:c>
      <x:c r="E7">
        <x:v>1.44115433995326</x:v>
      </x:c>
      <x:c r="F7">
        <x:v>1.4136764649398901</x:v>
      </x:c>
      <x:c r="G7">
        <x:v>0.82868008398104498</x:v>
      </x:c>
      <x:c r="H7">
        <x:v>1.0988749126742301</x:v>
      </x:c>
      <x:c r="I7">
        <x:v>0.35497617568358902</x:v>
      </x:c>
      <x:c r="J7">
        <x:v>5.32118632673418E-3</x:v>
      </x:c>
      <x:c r="K7">
        <x:v>1.8256376976842901</x:v>
      </x:c>
      <x:c r="L7">
        <x:v>2.8252997937170399</x:v>
      </x:c>
      <x:c r="M7">
        <x:v>1.9470694662899699</x:v>
      </x:c>
      <x:c r="N7">
        <x:v>0.71148747597573603</x:v>
      </x:c>
      <x:c r="O7">
        <x:v>0.88839517971794701</x:v>
      </x:c>
      <x:c r="P7">
        <x:v>1.77073443273099</x:v>
      </x:c>
      <x:c r="Q7">
        <x:v>5.1465696729992603</x:v>
      </x:c>
      <x:c r="R7">
        <x:v>2.3570864418971902</x:v>
      </x:c>
      <x:c r="S7">
        <x:v>0.84086281476567704</x:v>
      </x:c>
      <x:c r="T7">
        <x:v>2.15137482609004</x:v>
      </x:c>
      <x:c r="U7">
        <x:v>1.7366513404177899</x:v>
      </x:c>
      <x:c r="V7">
        <x:v>1.1685218187088999</x:v>
      </x:c>
      <x:c r="W7">
        <x:v>5.8533049594076004E-3</x:v>
      </x:c>
      <x:c r="X7">
        <x:v>0.35497617568358902</x:v>
      </x:c>
      <x:c r="Y7">
        <x:v>1.1377284749435299</x:v>
      </x:c>
    </x:row>
    <x:row r="8">
      <x:c r="A8">
        <x:v>6</x:v>
      </x:c>
      <x:c r="B8">
        <x:v>0.14024457551230801</x:v>
      </x:c>
      <x:c r="C8">
        <x:v>9.4804589815792803E-2</x:v>
      </x:c>
      <x:c r="D8">
        <x:v>1.02714005979467</x:v>
      </x:c>
      <x:c r="E8">
        <x:v>0.79243490271984196</x:v>
      </x:c>
      <x:c r="F8">
        <x:v>1.5979290050883901</x:v>
      </x:c>
      <x:c r="G8">
        <x:v>1.21679673385485</x:v>
      </x:c>
      <x:c r="H8">
        <x:v>1.4116455833835799</x:v>
      </x:c>
      <x:c r="I8">
        <x:v>0.738165518164276</x:v>
      </x:c>
      <x:c r="J8">
        <x:v>1.10276202854461</x:v>
      </x:c>
      <x:c r="K8">
        <x:v>3.0777764180256502</x:v>
      </x:c>
      <x:c r="L8">
        <x:v>2.78506868127478</x:v>
      </x:c>
      <x:c r="M8">
        <x:v>1.87845733954633</x:v>
      </x:c>
      <x:c r="N8">
        <x:v>0.63275746963451296</x:v>
      </x:c>
      <x:c r="O8">
        <x:v>4.1305979207911898</x:v>
      </x:c>
      <x:c r="P8">
        <x:v>1.61513805218373</x:v>
      </x:c>
      <x:c r="Q8">
        <x:v>2.4531186817592201</x:v>
      </x:c>
      <x:c r="R8">
        <x:v>2.2740258647081601</x:v>
      </x:c>
      <x:c r="S8">
        <x:v>0.74781671490592605</x:v>
      </x:c>
      <x:c r="T8">
        <x:v>2.7637165399124299</x:v>
      </x:c>
      <x:c r="U8">
        <x:v>0.21407210543962399</x:v>
      </x:c>
      <x:c r="V8">
        <x:v>1.7158051218178401</x:v>
      </x:c>
      <x:c r="W8">
        <x:v>1.21303823139908</x:v>
      </x:c>
      <x:c r="X8">
        <x:v>0.738165518164276</x:v>
      </x:c>
      <x:c r="Y8">
        <x:v>0.14024457551230801</x:v>
      </x:c>
    </x:row>
    <x:row r="9">
      <x:c r="A9">
        <x:v>7</x:v>
      </x:c>
      <x:c r="B9">
        <x:v>1.6958181707389901</x:v>
      </x:c>
      <x:c r="C9">
        <x:v>1.6946167632593501</x:v>
      </x:c>
      <x:c r="D9">
        <x:v>0.76599271562776505</x:v>
      </x:c>
      <x:c r="E9">
        <x:v>0.81673165865213804</x:v>
      </x:c>
      <x:c r="F9">
        <x:v>1.26279341945987</x:v>
      </x:c>
      <x:c r="G9">
        <x:v>0.22656995113267001</x:v>
      </x:c>
      <x:c r="H9">
        <x:v>0.81907882840270896</x:v>
      </x:c>
      <x:c r="I9">
        <x:v>1.4384075993209899</x:v>
      </x:c>
      <x:c r="J9">
        <x:v>2.2359672268370701</x:v>
      </x:c>
      <x:c r="K9">
        <x:v>0.48974486233936199</x:v>
      </x:c>
      <x:c r="L9">
        <x:v>3.5175390102541799</x:v>
      </x:c>
      <x:c r="M9">
        <x:v>4.14423524899951</x:v>
      </x:c>
      <x:c r="N9">
        <x:v>1.71333317085521</x:v>
      </x:c>
      <x:c r="O9">
        <x:v>0.79876169866886504</x:v>
      </x:c>
      <x:c r="P9">
        <x:v>0.129392363349143</x:v>
      </x:c>
      <x:c r="Q9">
        <x:v>5.6865086604704498</x:v>
      </x:c>
      <x:c r="R9">
        <x:v>5.0169348790940296</x:v>
      </x:c>
      <x:c r="S9">
        <x:v>2.0248819569184402</x:v>
      </x:c>
      <x:c r="T9">
        <x:v>1.6035906832384901</x:v>
      </x:c>
      <x:c r="U9">
        <x:v>2.5885305362203201</x:v>
      </x:c>
      <x:c r="V9">
        <x:v>0.31948629691984998</x:v>
      </x:c>
      <x:c r="W9">
        <x:v>2.4595639495207799</x:v>
      </x:c>
      <x:c r="X9">
        <x:v>1.4384075993209899</x:v>
      </x:c>
      <x:c r="Y9">
        <x:v>1.6958181707389901</x:v>
      </x:c>
    </x:row>
    <x:row r="10">
      <x:c r="A10">
        <x:v>8</x:v>
      </x:c>
      <x:c r="B10">
        <x:v>0.31609544233415299</x:v>
      </x:c>
      <x:c r="C10">
        <x:v>1.78667375215223</x:v>
      </x:c>
      <x:c r="D10">
        <x:v>1.1370086584778001</x:v>
      </x:c>
      <x:c r="E10">
        <x:v>1.0984791308614901</x:v>
      </x:c>
      <x:c r="F10">
        <x:v>6.2969977767597607E-2</x:v>
      </x:c>
      <x:c r="G10">
        <x:v>1.4956537823943199</x:v>
      </x:c>
      <x:c r="H10">
        <x:v>1.3845118138282599</x:v>
      </x:c>
      <x:c r="I10">
        <x:v>1.2615748764214401</x:v>
      </x:c>
      <x:c r="J10">
        <x:v>1.35483763224577</x:v>
      </x:c>
      <x:c r="K10">
        <x:v>2.3895066259340698</x:v>
      </x:c>
      <x:c r="L10">
        <x:v>3.1610755843988501</x:v>
      </x:c>
      <x:c r="M10">
        <x:v>0.55074518010874396</x:v>
      </x:c>
      <x:c r="N10">
        <x:v>3.0795324628544298</x:v>
      </x:c>
      <x:c r="O10">
        <x:v>0.79572344618693003</x:v>
      </x:c>
      <x:c r="P10">
        <x:v>4.8599056394782503</x:v>
      </x:c>
      <x:c r="Q10">
        <x:v>5.3646780986860696</x:v>
      </x:c>
      <x:c r="R10">
        <x:v>0.66672197343225603</x:v>
      </x:c>
      <x:c r="S10">
        <x:v>3.6395079636881098</x:v>
      </x:c>
      <x:c r="T10">
        <x:v>2.7105941070632098</x:v>
      </x:c>
      <x:c r="U10">
        <x:v>0.48249436110562999</x:v>
      </x:c>
      <x:c r="V10">
        <x:v>2.1090214568282399</x:v>
      </x:c>
      <x:c r="W10">
        <x:v>1.49032139547035</x:v>
      </x:c>
      <x:c r="X10">
        <x:v>1.2615748764214401</x:v>
      </x:c>
      <x:c r="Y10">
        <x:v>0.31609544233415299</x:v>
      </x:c>
    </x:row>
    <x:row r="11">
      <x:c r="A11">
        <x:v>9</x:v>
      </x:c>
      <x:c r="B11">
        <x:v>1.22477288835113</x:v>
      </x:c>
      <x:c r="C11">
        <x:v>0.52950989801515402</x:v>
      </x:c>
      <x:c r="D11">
        <x:v>0.30166777401306799</x:v>
      </x:c>
      <x:c r="E11">
        <x:v>5.7805755037868202E-2</x:v>
      </x:c>
      <x:c r="F11">
        <x:v>0.33800193613616702</x:v>
      </x:c>
      <x:c r="G11">
        <x:v>0.89899065018765101</x:v>
      </x:c>
      <x:c r="H11">
        <x:v>1.0232170679036401</x:v>
      </x:c>
      <x:c r="I11">
        <x:v>1.94862321626125</x:v>
      </x:c>
      <x:c r="J11">
        <x:v>2.2307481065952302</x:v>
      </x:c>
      <x:c r="K11">
        <x:v>0.58534003882103303</x:v>
      </x:c>
      <x:c r="L11">
        <x:v>3.64730902576833</x:v>
      </x:c>
      <x:c r="M11">
        <x:v>3.93297273071359</x:v>
      </x:c>
      <x:c r="N11">
        <x:v>5.0609287419993096</x:v>
      </x:c>
      <x:c r="O11">
        <x:v>5.0866567573714097</x:v>
      </x:c>
      <x:c r="P11">
        <x:v>5.3767078698278796</x:v>
      </x:c>
      <x:c r="Q11">
        <x:v>5.2256823261337697</x:v>
      </x:c>
      <x:c r="R11">
        <x:v>4.7611843647163399</x:v>
      </x:c>
      <x:c r="S11">
        <x:v>5.9811970428432</x:v>
      </x:c>
      <x:c r="T11">
        <x:v>2.0032520682052901</x:v>
      </x:c>
      <x:c r="U11">
        <x:v>1.8695176618199101</x:v>
      </x:c>
      <x:c r="V11">
        <x:v>1.26766675085629</x:v>
      </x:c>
      <x:c r="W11">
        <x:v>2.4538229172547501</x:v>
      </x:c>
      <x:c r="X11">
        <x:v>1.94862321626125</x:v>
      </x:c>
      <x:c r="Y11">
        <x:v>1.22477288835113</x:v>
      </x:c>
    </x:row>
    <x:row r="12">
      <x:c r="A12">
        <x:v>10</x:v>
      </x:c>
      <x:c r="B12">
        <x:v>0.53416908013081199</x:v>
      </x:c>
      <x:c r="C12">
        <x:v>0.776925128148371</x:v>
      </x:c>
      <x:c r="D12">
        <x:v>0.12949109281920701</x:v>
      </x:c>
      <x:c r="E12">
        <x:v>0.193321527271064</x:v>
      </x:c>
      <x:c r="F12">
        <x:v>1.2580197678060501</x:v>
      </x:c>
      <x:c r="G12">
        <x:v>0.113820766338862</x:v>
      </x:c>
      <x:c r="H12">
        <x:v>8.7815828063319806E-2</x:v>
      </x:c>
      <x:c r="I12">
        <x:v>0.56355180331351595</x:v>
      </x:c>
      <x:c r="J12">
        <x:v>2.64102111653852</x:v>
      </x:c>
      <x:c r="K12">
        <x:v>1.2346000914320501</x:v>
      </x:c>
      <x:c r="L12">
        <x:v>2.26005910514592</x:v>
      </x:c>
      <x:c r="M12">
        <x:v>0.50927305958074398</x:v>
      </x:c>
      <x:c r="N12">
        <x:v>2.0358629914407702</x:v>
      </x:c>
      <x:c r="O12">
        <x:v>4.0913375814422404</x:v>
      </x:c>
      <x:c r="P12">
        <x:v>4.9926836517936097</x:v>
      </x:c>
      <x:c r="Q12">
        <x:v>0.62397999725919895</x:v>
      </x:c>
      <x:c r="R12">
        <x:v>0.61651658800267195</x:v>
      </x:c>
      <x:c r="S12">
        <x:v>2.4060599002287102</x:v>
      </x:c>
      <x:c r="T12">
        <x:v>0.17192563015922199</x:v>
      </x:c>
      <x:c r="U12">
        <x:v>0.81536629296806296</x:v>
      </x:c>
      <x:c r="V12">
        <x:v>0.16049866704914101</x:v>
      </x:c>
      <x:c r="W12">
        <x:v>2.90512322819237</x:v>
      </x:c>
      <x:c r="X12">
        <x:v>0.56355180331351595</x:v>
      </x:c>
      <x:c r="Y12">
        <x:v>0.53416908013081199</x:v>
      </x:c>
    </x:row>
    <x:row r="13">
      <x:c r="A13">
        <x:v>11</x:v>
      </x:c>
      <x:c r="B13">
        <x:v>0.105106204349002</x:v>
      </x:c>
      <x:c r="C13">
        <x:v>1.62950471497294</x:v>
      </x:c>
      <x:c r="D13">
        <x:v>1.3762330555906199</x:v>
      </x:c>
      <x:c r="E13">
        <x:v>0.53123904756269902</x:v>
      </x:c>
      <x:c r="F13">
        <x:v>0.43774026437541902</x:v>
      </x:c>
      <x:c r="G13">
        <x:v>1.3758335213577799</x:v>
      </x:c>
      <x:c r="H13">
        <x:v>0.18043999266319499</x:v>
      </x:c>
      <x:c r="I13">
        <x:v>0.83506348049518797</x:v>
      </x:c>
      <x:c r="J13">
        <x:v>0.13934366057531999</x:v>
      </x:c>
      <x:c r="K13">
        <x:v>0.34322359950464099</x:v>
      </x:c>
      <x:c r="L13">
        <x:v>1.39529965607769</x:v>
      </x:c>
      <x:c r="M13">
        <x:v>0.31417143174925499</x:v>
      </x:c>
      <x:c r="N13">
        <x:v>4.9821324059777696</x:v>
      </x:c>
      <x:c r="O13">
        <x:v>0.57587711579574896</x:v>
      </x:c>
      <x:c r="P13">
        <x:v>3.14691342245156</x:v>
      </x:c>
      <x:c r="Q13">
        <x:v>1.5358294371263499</x:v>
      </x:c>
      <x:c r="R13">
        <x:v>0.38033015001700698</x:v>
      </x:c>
      <x:c r="S13">
        <x:v>5.88807255205798</x:v>
      </x:c>
      <x:c r="T13">
        <x:v>0.35326501074699801</x:v>
      </x:c>
      <x:c r="U13">
        <x:v>0.16043619781774399</x:v>
      </x:c>
      <x:c r="V13">
        <x:v>1.94006290207215</x:v>
      </x:c>
      <x:c r="W13">
        <x:v>0.153278026632852</x:v>
      </x:c>
      <x:c r="X13">
        <x:v>0.83506348049518797</x:v>
      </x:c>
      <x:c r="Y13">
        <x:v>0.105106204349002</x:v>
      </x:c>
    </x:row>
    <x:row r="14">
      <x:c r="A14">
        <x:v>12</x:v>
      </x:c>
      <x:c r="B14">
        <x:v>1.39903887956021</x:v>
      </x:c>
      <x:c r="C14">
        <x:v>0.462020162526181</x:v>
      </x:c>
      <x:c r="D14">
        <x:v>0.49512845239769099</x:v>
      </x:c>
      <x:c r="E14">
        <x:v>0.91620918167804499</x:v>
      </x:c>
      <x:c r="F14">
        <x:v>1.4469667658023899</x:v>
      </x:c>
      <x:c r="G14">
        <x:v>0.26116767242940597</x:v>
      </x:c>
      <x:c r="H14">
        <x:v>0.91413249113601402</x:v>
      </x:c>
      <x:c r="I14">
        <x:v>7.0583502904676104E-2</x:v>
      </x:c>
      <x:c r="J14">
        <x:v>1.0144933491799599</x:v>
      </x:c>
      <x:c r="K14">
        <x:v>2.4270718212420999</x:v>
      </x:c>
      <x:c r="L14">
        <x:v>1.3751806458739999</x:v>
      </x:c>
      <x:c r="M14">
        <x:v>3.5426930234370499</x:v>
      </x:c>
      <x:c r="N14">
        <x:v>0.95832684815366698</x:v>
      </x:c>
      <x:c r="O14">
        <x:v>2.84598185979389</x:v>
      </x:c>
      <x:c r="P14">
        <x:v>2.63557212377922</x:v>
      </x:c>
      <x:c r="Q14">
        <x:v>5.0900159094316901</x:v>
      </x:c>
      <x:c r="R14">
        <x:v>4.2887189378294304</x:v>
      </x:c>
      <x:c r="S14">
        <x:v>1.13258692276895</x:v>
      </x:c>
      <x:c r="T14">
        <x:v>1.7896865297934199</x:v>
      </x:c>
      <x:c r="U14">
        <x:v>2.1355207318736</x:v>
      </x:c>
      <x:c r="V14">
        <x:v>0.36827254506838097</x:v>
      </x:c>
      <x:c r="W14">
        <x:v>1.1159426840979501</x:v>
      </x:c>
      <x:c r="X14">
        <x:v>7.0583502904676104E-2</x:v>
      </x:c>
      <x:c r="Y14">
        <x:v>1.39903887956021</x:v>
      </x:c>
    </x:row>
    <x:row r="15">
      <x:c r="A15">
        <x:v>13</x:v>
      </x:c>
      <x:c r="B15">
        <x:v>1.97782883039143</x:v>
      </x:c>
      <x:c r="C15">
        <x:v>1.97782883039143</x:v>
      </x:c>
      <x:c r="D15">
        <x:v>1.97782883039143</x:v>
      </x:c>
      <x:c r="E15">
        <x:v>1.97782883039143</x:v>
      </x:c>
      <x:c r="F15">
        <x:v>1.97782883039143</x:v>
      </x:c>
      <x:c r="G15">
        <x:v>1.97782883039143</x:v>
      </x:c>
      <x:c r="H15">
        <x:v>2.0819250846225601</x:v>
      </x:c>
      <x:c r="I15">
        <x:v>2.0819250846225601</x:v>
      </x:c>
      <x:c r="J15">
        <x:v>2.0819250846225601</x:v>
      </x:c>
      <x:c r="K15">
        <x:v>2.0819250846225601</x:v>
      </x:c>
      <x:c r="L15">
        <x:v>1.4573475592357901</x:v>
      </x:c>
      <x:c r="M15">
        <x:v>1.4573475592357901</x:v>
      </x:c>
      <x:c r="N15">
        <x:v>1.4573475592357901</x:v>
      </x:c>
      <x:c r="O15">
        <x:v>1.4573475592357901</x:v>
      </x:c>
      <x:c r="P15">
        <x:v>1.4573475592357901</x:v>
      </x:c>
      <x:c r="Q15">
        <x:v>2.0819250846225601</x:v>
      </x:c>
      <x:c r="R15">
        <x:v>2.0819250846225601</x:v>
      </x:c>
      <x:c r="S15">
        <x:v>2.81059886424045</x:v>
      </x:c>
      <x:c r="T15">
        <x:v>3.14433378203372</x:v>
      </x:c>
      <x:c r="U15">
        <x:v>2.9587268464015999</x:v>
      </x:c>
      <x:c r="V15">
        <x:v>2.9357226429427201</x:v>
      </x:c>
      <x:c r="W15">
        <x:v>2.81059886424045</x:v>
      </x:c>
      <x:c r="X15">
        <x:v>2.0819250846225601</x:v>
      </x:c>
      <x:c r="Y15">
        <x:v>2.0819250846225601</x:v>
      </x:c>
    </x:row>
    <x:row r="16">
      <x:c r="A16">
        <x:v>14</x:v>
      </x:c>
      <x:c r="B16">
        <x:v>1.85155969816276</x:v>
      </x:c>
      <x:c r="C16">
        <x:v>0.42874197209265902</x:v>
      </x:c>
      <x:c r="D16">
        <x:v>1.43688473618818</x:v>
      </x:c>
      <x:c r="E16">
        <x:v>1.3262081989785099</x:v>
      </x:c>
      <x:c r="F16">
        <x:v>2.6767084582995801E-2</x:v>
      </x:c>
      <x:c r="G16">
        <x:v>1.18176398264462</x:v>
      </x:c>
      <x:c r="H16">
        <x:v>0.47967735526138999</x:v>
      </x:c>
      <x:c r="I16">
        <x:v>0.32189654917903798</x:v>
      </x:c>
      <x:c r="J16">
        <x:v>0.85802777592149504</x:v>
      </x:c>
      <x:c r="K16">
        <x:v>1.92006130679818</x:v>
      </x:c>
      <x:c r="L16">
        <x:v>0.166735699372979</x:v>
      </x:c>
      <x:c r="M16">
        <x:v>3.3265377456929199</x:v>
      </x:c>
      <x:c r="N16">
        <x:v>3.7559798638186801</x:v>
      </x:c>
      <x:c r="O16">
        <x:v>3.8996196072558398</x:v>
      </x:c>
      <x:c r="P16">
        <x:v>1.96173534801821</x:v>
      </x:c>
      <x:c r="Q16">
        <x:v>4.1341373351569803</x:v>
      </x:c>
      <x:c r="R16">
        <x:v>4.0270453389485397</x:v>
      </x:c>
      <x:c r="S16">
        <x:v>4.43895909223491</x:v>
      </x:c>
      <x:c r="T16">
        <x:v>0.93911124446676197</x:v>
      </x:c>
      <x:c r="U16">
        <x:v>2.82625749684038</x:v>
      </x:c>
      <x:c r="V16">
        <x:v>1.66640543797135</x:v>
      </x:c>
      <x:c r="W16">
        <x:v>0.94383055351364498</x:v>
      </x:c>
      <x:c r="X16">
        <x:v>0.32189654917903798</x:v>
      </x:c>
      <x:c r="Y16">
        <x:v>1.85155969816276</x:v>
      </x:c>
    </x:row>
    <x:row r="17">
      <x:c r="A17">
        <x:v>15</x:v>
      </x:c>
      <x:c r="B17">
        <x:v>1.0722296983997099</x:v>
      </x:c>
      <x:c r="C17">
        <x:v>1.65691070232814</x:v>
      </x:c>
      <x:c r="D17">
        <x:v>0.94832089941989195</x:v>
      </x:c>
      <x:c r="E17">
        <x:v>0.78135700373679295</x:v>
      </x:c>
      <x:c r="F17">
        <x:v>0.89631898941784904</x:v>
      </x:c>
      <x:c r="G17">
        <x:v>0.57633193732179799</x:v>
      </x:c>
      <x:c r="H17">
        <x:v>1.0555844891450199</x:v>
      </x:c>
      <x:c r="I17">
        <x:v>1.0040708139391401</x:v>
      </x:c>
      <x:c r="J17">
        <x:v>0.56107364256500503</x:v>
      </x:c>
      <x:c r="K17">
        <x:v>2.3073543979689402</x:v>
      </x:c>
      <x:c r="L17">
        <x:v>2.1090339201994501</x:v>
      </x:c>
      <x:c r="M17">
        <x:v>0.20627764576549801</x:v>
      </x:c>
      <x:c r="N17">
        <x:v>3.8071399296490997E-2</x:v>
      </x:c>
      <x:c r="O17">
        <x:v>0.34799862145944099</x:v>
      </x:c>
      <x:c r="P17">
        <x:v>3.8106005741630602</x:v>
      </x:c>
      <x:c r="Q17">
        <x:v>0.82209981221272299</x:v>
      </x:c>
      <x:c r="R17">
        <x:v>0.24971591949761399</x:v>
      </x:c>
      <x:c r="S17">
        <x:v>4.4994219934248098E-2</x:v>
      </x:c>
      <x:c r="T17">
        <x:v>2.06662093252368</x:v>
      </x:c>
      <x:c r="U17">
        <x:v>1.6366727070393901</x:v>
      </x:c>
      <x:c r="V17">
        <x:v>0.81268568727264701</x:v>
      </x:c>
      <x:c r="W17">
        <x:v>0.61718100682150501</x:v>
      </x:c>
      <x:c r="X17">
        <x:v>1.0040708139391401</x:v>
      </x:c>
      <x:c r="Y17">
        <x:v>1.0722296983997099</x:v>
      </x:c>
    </x:row>
    <x:row r="18">
      <x:c r="A18">
        <x:v>16</x:v>
      </x:c>
      <x:c r="B18">
        <x:v>1.86461907260749</x:v>
      </x:c>
      <x:c r="C18">
        <x:v>0.93102013675600104</x:v>
      </x:c>
      <x:c r="D18">
        <x:v>0.344031187603835</x:v>
      </x:c>
      <x:c r="E18">
        <x:v>1.4591965581919399</x:v>
      </x:c>
      <x:c r="F18">
        <x:v>1.3675756210757199</x:v>
      </x:c>
      <x:c r="G18">
        <x:v>1.5753409803078</x:v>
      </x:c>
      <x:c r="H18">
        <x:v>0.24390293078658001</x:v>
      </x:c>
      <x:c r="I18">
        <x:v>1.33671114240328</x:v>
      </x:c>
      <x:c r="J18">
        <x:v>0.258957357104385</x:v>
      </x:c>
      <x:c r="K18">
        <x:v>0.96268573878363395</x:v>
      </x:c>
      <x:c r="L18">
        <x:v>1.0806365057482901</x:v>
      </x:c>
      <x:c r="M18">
        <x:v>3.1787236373979701</x:v>
      </x:c>
      <x:c r="N18">
        <x:v>5.0891755146154398E-2</x:v>
      </x:c>
      <x:c r="O18">
        <x:v>3.5778104448980699</x:v>
      </x:c>
      <x:c r="P18">
        <x:v>3.5832887967450202</x:v>
      </x:c>
      <x:c r="Q18">
        <x:v>0.92473020613744195</x:v>
      </x:c>
      <x:c r="R18">
        <x:v>3.8481043013454799</x:v>
      </x:c>
      <x:c r="S18">
        <x:v>6.0145801472997702E-2</x:v>
      </x:c>
      <x:c r="T18">
        <x:v>0.477512607897154</x:v>
      </x:c>
      <x:c r="U18">
        <x:v>2.8461915853631998</x:v>
      </x:c>
      <x:c r="V18">
        <x:v>2.2213883777108401</x:v>
      </x:c>
      <x:c r="W18">
        <x:v>0.28485309281482402</x:v>
      </x:c>
      <x:c r="X18">
        <x:v>1.33671114240328</x:v>
      </x:c>
      <x:c r="Y18">
        <x:v>1.86461907260749</x:v>
      </x:c>
    </x:row>
    <x:row r="19">
      <x:c r="A19">
        <x:v>17</x:v>
      </x:c>
      <x:c r="B19">
        <x:v>1.5972183636416599</x:v>
      </x:c>
      <x:c r="C19">
        <x:v>0.84562563955060299</x:v>
      </x:c>
      <x:c r="D19">
        <x:v>0.68461426416700699</x:v>
      </x:c>
      <x:c r="E19">
        <x:v>0.385534847535632</x:v>
      </x:c>
      <x:c r="F19">
        <x:v>1.0079949857786601</x:v>
      </x:c>
      <x:c r="G19">
        <x:v>0.57032053347869904</x:v>
      </x:c>
      <x:c r="H19">
        <x:v>1.3340428629225001</x:v>
      </x:c>
      <x:c r="I19">
        <x:v>0.72384288240543504</x:v>
      </x:c>
      <x:c r="J19">
        <x:v>0.59368706832167795</x:v>
      </x:c>
      <x:c r="K19">
        <x:v>1.13802065753197</x:v>
      </x:c>
      <x:c r="L19">
        <x:v>4.1203731365673404</x:v>
      </x:c>
      <x:c r="M19">
        <x:v>3.5509713007324599</x:v>
      </x:c>
      <x:c r="N19">
        <x:v>9.6185310391610906E-2</x:v>
      </x:c>
      <x:c r="O19">
        <x:v>2.0376562848008701</x:v>
      </x:c>
      <x:c r="P19">
        <x:v>5.1171627768613304</x:v>
      </x:c>
      <x:c r="Q19">
        <x:v>3.2990395801711498</x:v>
      </x:c>
      <x:c r="R19">
        <x:v>4.2987404678842696</x:v>
      </x:c>
      <x:c r="S19">
        <x:v>0.11367543852277</x:v>
      </x:c>
      <x:c r="T19">
        <x:v>2.61178610878651</x:v>
      </x:c>
      <x:c r="U19">
        <x:v>2.4380258323901698</x:v>
      </x:c>
      <x:c r="V19">
        <x:v>0.80420900647927596</x:v>
      </x:c>
      <x:c r="W19">
        <x:v>0.65305577515384605</x:v>
      </x:c>
      <x:c r="X19">
        <x:v>0.72384288240543504</x:v>
      </x:c>
      <x:c r="Y19">
        <x:v>1.5972183636416599</x:v>
      </x:c>
    </x:row>
    <x:row r="20">
      <x:c r="A20">
        <x:v>18</x:v>
      </x:c>
      <x:c r="B20">
        <x:v>2.2508021642378901</x:v>
      </x:c>
      <x:c r="C20">
        <x:v>0.54423243166062196</x:v>
      </x:c>
      <x:c r="D20">
        <x:v>0.64704970204343304</x:v>
      </x:c>
      <x:c r="E20">
        <x:v>0.45124316306211099</x:v>
      </x:c>
      <x:c r="F20">
        <x:v>0.121512461811655</x:v>
      </x:c>
      <x:c r="G20">
        <x:v>7.1537243282785407E-2</x:v>
      </x:c>
      <x:c r="H20">
        <x:v>0.202572258876872</x:v>
      </x:c>
      <x:c r="I20">
        <x:v>0.70653858649995605</x:v>
      </x:c>
      <x:c r="J20">
        <x:v>0.21811426566043901</x:v>
      </x:c>
      <x:c r="K20">
        <x:v>2.6276450724405298</x:v>
      </x:c>
      <x:c r="L20">
        <x:v>6.0271544002100101E-2</x:v>
      </x:c>
      <x:c r="M20">
        <x:v>3.9576398635205599</x:v>
      </x:c>
      <x:c r="N20">
        <x:v>5.2862593876581503</x:v>
      </x:c>
      <x:c r="O20">
        <x:v>3.9377115436436601</x:v>
      </x:c>
      <x:c r="P20">
        <x:v>1.8147393805195799</x:v>
      </x:c>
      <x:c r="Q20">
        <x:v>3.1816619215846398</x:v>
      </x:c>
      <x:c r="R20">
        <x:v>4.7910459414635502</x:v>
      </x:c>
      <x:c r="S20">
        <x:v>6.2475013241685096</x:v>
      </x:c>
      <x:c r="T20">
        <x:v>0.39659551163226398</x:v>
      </x:c>
      <x:c r="U20">
        <x:v>3.4356691263554899</x:v>
      </x:c>
      <x:c r="V20">
        <x:v>0.10087466954030699</x:v>
      </x:c>
      <x:c r="W20">
        <x:v>0.23992569222648299</x:v>
      </x:c>
      <x:c r="X20">
        <x:v>0.70653858649995605</x:v>
      </x:c>
      <x:c r="Y20">
        <x:v>2.2508021642378901</x:v>
      </x:c>
    </x:row>
    <x:row r="21">
      <x:c r="A21">
        <x:v>19</x:v>
      </x:c>
      <x:c r="B21">
        <x:v>1.4779606682078701</x:v>
      </x:c>
      <x:c r="C21">
        <x:v>1.4779606682078701</x:v>
      </x:c>
      <x:c r="D21">
        <x:v>1.4779606682078701</x:v>
      </x:c>
      <x:c r="E21">
        <x:v>1.4779606682078701</x:v>
      </x:c>
      <x:c r="F21">
        <x:v>1.4779606682078701</x:v>
      </x:c>
      <x:c r="G21">
        <x:v>1.4779606682078701</x:v>
      </x:c>
      <x:c r="H21">
        <x:v>1.5557480717977501</x:v>
      </x:c>
      <x:c r="I21">
        <x:v>1.5557480717977501</x:v>
      </x:c>
      <x:c r="J21">
        <x:v>1.5557480717977501</x:v>
      </x:c>
      <x:c r="K21">
        <x:v>1.5557480717977501</x:v>
      </x:c>
      <x:c r="L21">
        <x:v>1.0890236502584301</x:v>
      </x:c>
      <x:c r="M21">
        <x:v>1.0890236502584301</x:v>
      </x:c>
      <x:c r="N21">
        <x:v>1.0890236502584301</x:v>
      </x:c>
      <x:c r="O21">
        <x:v>1.0890236502584301</x:v>
      </x:c>
      <x:c r="P21">
        <x:v>1.0890236502584301</x:v>
      </x:c>
      <x:c r="Q21">
        <x:v>1.5557480717977501</x:v>
      </x:c>
      <x:c r="R21">
        <x:v>1.5557480717977501</x:v>
      </x:c>
      <x:c r="S21">
        <x:v>2.1002598969269699</x:v>
      </x:c>
      <x:c r="T21">
        <x:v>2.3496480515168798</x:v>
      </x:c>
      <x:c r="U21">
        <x:v>2.2109506342299698</x:v>
      </x:c>
      <x:c r="V21">
        <x:v>2.1937604166574398</x:v>
      </x:c>
      <x:c r="W21">
        <x:v>2.1002598969269699</x:v>
      </x:c>
      <x:c r="X21">
        <x:v>1.5557480717977501</x:v>
      </x:c>
      <x:c r="Y21">
        <x:v>1.5557480717977501</x:v>
      </x:c>
    </x:row>
    <x:row r="22">
      <x:c r="A22">
        <x:v>20</x:v>
      </x:c>
      <x:c r="B22">
        <x:v>1.2800447173753999</x:v>
      </x:c>
      <x:c r="C22">
        <x:v>0.16375307575081</x:v>
      </x:c>
      <x:c r="D22">
        <x:v>0.37251608686705501</x:v>
      </x:c>
      <x:c r="E22">
        <x:v>0.17024497673279099</x:v>
      </x:c>
      <x:c r="F22">
        <x:v>1.17442889652972</x:v>
      </x:c>
      <x:c r="G22">
        <x:v>0.408906013348796</x:v>
      </x:c>
      <x:c r="H22">
        <x:v>0.70480504695002899</x:v>
      </x:c>
      <x:c r="I22">
        <x:v>1.1300924276359201</x:v>
      </x:c>
      <x:c r="J22">
        <x:v>0.43908940058353102</x:v>
      </x:c>
      <x:c r="K22">
        <x:v>2.5913650618203801</x:v>
      </x:c>
      <x:c r="L22">
        <x:v>2.2366624397788502</x:v>
      </x:c>
      <x:c r="M22">
        <x:v>1.0604193905653301</x:v>
      </x:c>
      <x:c r="N22">
        <x:v>3.6758763274786102</x:v>
      </x:c>
      <x:c r="O22">
        <x:v>1.3646239426535001</x:v>
      </x:c>
      <x:c r="P22">
        <x:v>3.7300050759436099</x:v>
      </x:c>
      <x:c r="Q22">
        <x:v>2.9905795877007102</x:v>
      </x:c>
      <x:c r="R22">
        <x:v>1.2837241872983001</x:v>
      </x:c>
      <x:c r="S22">
        <x:v>4.3442897026617304</x:v>
      </x:c>
      <x:c r="T22">
        <x:v>1.3798657315958001</x:v>
      </x:c>
      <x:c r="U22">
        <x:v>1.95388567938852</x:v>
      </x:c>
      <x:c r="V22">
        <x:v>0.57659838535502905</x:v>
      </x:c>
      <x:c r="W22">
        <x:v>0.48299834064188402</x:v>
      </x:c>
      <x:c r="X22">
        <x:v>1.1300924276359201</x:v>
      </x:c>
      <x:c r="Y22">
        <x:v>1.2800447173753999</x:v>
      </x:c>
    </x:row>
    <x:row r="23">
      <x:c r="A23">
        <x:v>21</x:v>
      </x:c>
      <x:c r="B23">
        <x:v>0.13674763279190699</x:v>
      </x:c>
      <x:c r="C23">
        <x:v>1.3653444000472501</x:v>
      </x:c>
      <x:c r="D23">
        <x:v>0.29363650089756399</x:v>
      </x:c>
      <x:c r="E23">
        <x:v>0.52158393730575803</x:v>
      </x:c>
      <x:c r="F23">
        <x:v>0.29801156048163402</x:v>
      </x:c>
      <x:c r="G23">
        <x:v>0.85533482365760505</x:v>
      </x:c>
      <x:c r="H23">
        <x:v>0.881367850299967</x:v>
      </x:c>
      <x:c r="I23">
        <x:v>0.13873935209416999</x:v>
      </x:c>
      <x:c r="J23">
        <x:v>2.4597448090657501</x:v>
      </x:c>
      <x:c r="K23">
        <x:v>1.09944036840509</x:v>
      </x:c>
      <x:c r="L23">
        <x:v>1.04484132857634</x:v>
      </x:c>
      <x:c r="M23">
        <x:v>2.9166592447558402</x:v>
      </x:c>
      <x:c r="N23">
        <x:v>4.9917599282808203</x:v>
      </x:c>
      <x:c r="O23">
        <x:v>4.9481885127476399</x:v>
      </x:c>
      <x:c r="P23">
        <x:v>2.67985735803176</x:v>
      </x:c>
      <x:c r="Q23">
        <x:v>2.1648394774864301</x:v>
      </x:c>
      <x:c r="R23">
        <x:v>3.5308539733549802</x:v>
      </x:c>
      <x:c r="S23">
        <x:v>5.8994507221260299</x:v>
      </x:c>
      <x:c r="T23">
        <x:v>1.7255399898482899</x:v>
      </x:c>
      <x:c r="U23">
        <x:v>0.20873430261892001</x:v>
      </x:c>
      <x:c r="V23">
        <x:v>1.20610766816535</x:v>
      </x:c>
      <x:c r="W23">
        <x:v>2.7057192899723201</x:v>
      </x:c>
      <x:c r="X23">
        <x:v>0.13873935209416999</x:v>
      </x:c>
      <x:c r="Y23">
        <x:v>0.13674763279190699</x:v>
      </x:c>
    </x:row>
    <x:row r="24">
      <x:c r="A24">
        <x:v>22</x:v>
      </x:c>
      <x:c r="B24">
        <x:v>1.7723856661478501</x:v>
      </x:c>
      <x:c r="C24">
        <x:v>1.7723856661478501</x:v>
      </x:c>
      <x:c r="D24">
        <x:v>1.7723856661478501</x:v>
      </x:c>
      <x:c r="E24">
        <x:v>1.7723856661478501</x:v>
      </x:c>
      <x:c r="F24">
        <x:v>1.7723856661478501</x:v>
      </x:c>
      <x:c r="G24">
        <x:v>1.7723856661478501</x:v>
      </x:c>
      <x:c r="H24">
        <x:v>1.8656691222609001</x:v>
      </x:c>
      <x:c r="I24">
        <x:v>1.8656691222609001</x:v>
      </x:c>
      <x:c r="J24">
        <x:v>1.8656691222609001</x:v>
      </x:c>
      <x:c r="K24">
        <x:v>1.8656691222609001</x:v>
      </x:c>
      <x:c r="L24">
        <x:v>1.3059683855826301</x:v>
      </x:c>
      <x:c r="M24">
        <x:v>1.3059683855826301</x:v>
      </x:c>
      <x:c r="N24">
        <x:v>1.3059683855826301</x:v>
      </x:c>
      <x:c r="O24">
        <x:v>1.3059683855826301</x:v>
      </x:c>
      <x:c r="P24">
        <x:v>1.3059683855826301</x:v>
      </x:c>
      <x:c r="Q24">
        <x:v>1.8656691222609001</x:v>
      </x:c>
      <x:c r="R24">
        <x:v>1.8656691222609001</x:v>
      </x:c>
      <x:c r="S24">
        <x:v>2.5186533150522101</x:v>
      </x:c>
      <x:c r="T24">
        <x:v>2.81772216039449</x:v>
      </x:c>
      <x:c r="U24">
        <x:v>2.6513947880773898</x:v>
      </x:c>
      <x:c r="V24">
        <x:v>2.6307801019907302</x:v>
      </x:c>
      <x:c r="W24">
        <x:v>2.5186533150522101</x:v>
      </x:c>
      <x:c r="X24">
        <x:v>1.8656691222609001</x:v>
      </x:c>
      <x:c r="Y24">
        <x:v>1.8656691222609001</x:v>
      </x:c>
    </x:row>
    <x:row r="25">
      <x:c r="A25">
        <x:v>23</x:v>
      </x:c>
      <x:c r="B25">
        <x:v>0.47494298050682798</x:v>
      </x:c>
      <x:c r="C25">
        <x:v>1.73330197204618</x:v>
      </x:c>
      <x:c r="D25">
        <x:v>0.57951777144520999</x:v>
      </x:c>
      <x:c r="E25">
        <x:v>0.96629642529179705</x:v>
      </x:c>
      <x:c r="F25">
        <x:v>0.66790631621532903</x:v>
      </x:c>
      <x:c r="G25">
        <x:v>0.71083785193027904</x:v>
      </x:c>
      <x:c r="H25">
        <x:v>1.2497434045886</x:v>
      </x:c>
      <x:c r="I25">
        <x:v>1.3108381950533099</x:v>
      </x:c>
      <x:c r="J25">
        <x:v>1.1039370110051201</x:v>
      </x:c>
      <x:c r="K25">
        <x:v>1.08101872721454</x:v>
      </x:c>
      <x:c r="L25">
        <x:v>4.03501235092053</x:v>
      </x:c>
      <x:c r="M25">
        <x:v>4.0700820242791798</x:v>
      </x:c>
      <x:c r="N25">
        <x:v>4.4991374849605199</x:v>
      </x:c>
      <x:c r="O25">
        <x:v>0.97655181130379898</x:v>
      </x:c>
      <x:c r="P25">
        <x:v>3.7277177059444302</x:v>
      </x:c>
      <x:c r="Q25">
        <x:v>1.2542808052154799</x:v>
      </x:c>
      <x:c r="R25">
        <x:v>4.9271663507300998</x:v>
      </x:c>
      <x:c r="S25">
        <x:v>5.3172508826433296</x:v>
      </x:c>
      <x:c r="T25">
        <x:v>2.4467448193541901</x:v>
      </x:c>
      <x:c r="U25">
        <x:v>0.72496239822084296</x:v>
      </x:c>
      <x:c r="V25">
        <x:v>1.0023524827027199</x:v>
      </x:c>
      <x:c r="W25">
        <x:v>1.2143307121056399</x:v>
      </x:c>
      <x:c r="X25">
        <x:v>1.3108381950533099</x:v>
      </x:c>
      <x:c r="Y25">
        <x:v>0.47494298050682798</x:v>
      </x:c>
    </x:row>
    <x:row r="26">
      <x:c r="A26">
        <x:v>24</x:v>
      </x:c>
      <x:c r="B26">
        <x:v>0.530321131294896</x:v>
      </x:c>
      <x:c r="C26">
        <x:v>0.42911675170353802</x:v>
      </x:c>
      <x:c r="D26">
        <x:v>1.22259398833178</x:v>
      </x:c>
      <x:c r="E26">
        <x:v>1.02583364740889</x:v>
      </x:c>
      <x:c r="F26">
        <x:v>1.4254487860751499</x:v>
      </x:c>
      <x:c r="G26">
        <x:v>2.0248755949422201</x:v>
      </x:c>
      <x:c r="H26">
        <x:v>0.85948882100058399</x:v>
      </x:c>
      <x:c r="I26">
        <x:v>0.82604359776849401</x:v>
      </x:c>
      <x:c r="J26">
        <x:v>1.3660002289914199</x:v>
      </x:c>
      <x:c r="K26">
        <x:v>1.0252297932657199</x:v>
      </x:c>
      <x:c r="L26">
        <x:v>1.15412280123472</x:v>
      </x:c>
      <x:c r="M26">
        <x:v>2.1159966745438199</x:v>
      </x:c>
      <x:c r="N26">
        <x:v>2.2767523869166499</x:v>
      </x:c>
      <x:c r="O26">
        <x:v>2.0748021535440002</x:v>
      </x:c>
      <x:c r="P26">
        <x:v>2.5787629821951601</x:v>
      </x:c>
      <x:c r="Q26">
        <x:v>3.2967791977507499</x:v>
      </x:c>
      <x:c r="R26">
        <x:v>2.5615866095267501</x:v>
      </x:c>
      <x:c r="S26">
        <x:v>2.6907521006771602</x:v>
      </x:c>
      <x:c r="T26">
        <x:v>1.68270527562279</x:v>
      </x:c>
      <x:c r="U26">
        <x:v>0.80949270744135404</x:v>
      </x:c>
      <x:c r="V26">
        <x:v>2.8552771553217098</x:v>
      </x:c>
      <x:c r="W26">
        <x:v>1.5026002518905599</x:v>
      </x:c>
      <x:c r="X26">
        <x:v>0.82604359776849401</x:v>
      </x:c>
      <x:c r="Y26">
        <x:v>0.530321131294896</x:v>
      </x:c>
    </x:row>
    <x:row r="27">
      <x:c r="A27">
        <x:v>25</x:v>
      </x:c>
      <x:c r="B27">
        <x:v>1.6881606684761401</x:v>
      </x:c>
      <x:c r="C27">
        <x:v>1.4922739871966899</x:v>
      </x:c>
      <x:c r="D27">
        <x:v>0.71719919550660505</x:v>
      </x:c>
      <x:c r="E27">
        <x:v>0.36869884674262399</x:v>
      </x:c>
      <x:c r="F27">
        <x:v>1.0857875351070601</x:v>
      </x:c>
      <x:c r="G27">
        <x:v>0.357274044827391</x:v>
      </x:c>
      <x:c r="H27">
        <x:v>1.0715950064374899</x:v>
      </x:c>
      <x:c r="I27">
        <x:v>1.60285659542509</x:v>
      </x:c>
      <x:c r="J27">
        <x:v>2.3029093961407501</x:v>
      </x:c>
      <x:c r="K27">
        <x:v>2.6039861521734098</x:v>
      </x:c>
      <x:c r="L27">
        <x:v>1.41456616359244</x:v>
      </x:c>
      <x:c r="M27">
        <x:v>1.838838634904</x:v>
      </x:c>
      <x:c r="N27">
        <x:v>4.7691345582940396</x:v>
      </x:c>
      <x:c r="O27">
        <x:v>2.2900685203051299</x:v>
      </x:c>
      <x:c r="P27">
        <x:v>3.3344633317187502</x:v>
      </x:c>
      <x:c r="Q27">
        <x:v>0.72066523988527298</x:v>
      </x:c>
      <x:c r="R27">
        <x:v>2.22606419042034</x:v>
      </x:c>
      <x:c r="S27">
        <x:v>5.6363436379309304</x:v>
      </x:c>
      <x:c r="T27">
        <x:v>2.0979662871754399</x:v>
      </x:c>
      <x:c r="U27">
        <x:v>2.5768419726817502</x:v>
      </x:c>
      <x:c r="V27">
        <x:v>0.50379214453129895</x:v>
      </x:c>
      <x:c r="W27">
        <x:v>2.5332003357548301</x:v>
      </x:c>
      <x:c r="X27">
        <x:v>1.60285659542509</x:v>
      </x:c>
      <x:c r="Y27">
        <x:v>1.6881606684761401</x:v>
      </x:c>
    </x:row>
    <x:row r="28">
      <x:c r="A28">
        <x:v>26</x:v>
      </x:c>
      <x:c r="B28">
        <x:v>1.0939608187463901</x:v>
      </x:c>
      <x:c r="C28">
        <x:v>0.81719659145072698</x:v>
      </x:c>
      <x:c r="D28">
        <x:v>0.98785400055351102</x:v>
      </x:c>
      <x:c r="E28">
        <x:v>0.20694933858925799</x:v>
      </x:c>
      <x:c r="F28">
        <x:v>0.771598562061802</x:v>
      </x:c>
      <x:c r="G28">
        <x:v>0.55862385196572995</x:v>
      </x:c>
      <x:c r="H28">
        <x:v>0.43355536896247998</x:v>
      </x:c>
      <x:c r="I28">
        <x:v>0.21973708284133001</x:v>
      </x:c>
      <x:c r="J28">
        <x:v>1.71689036292118</x:v>
      </x:c>
      <x:c r="K28">
        <x:v>2.2245226487691201</x:v>
      </x:c>
      <x:c r="L28">
        <x:v>1.30177678424872</x:v>
      </x:c>
      <x:c r="M28">
        <x:v>4.2139592576237401</x:v>
      </x:c>
      <x:c r="N28">
        <x:v>3.3472371469156301</x:v>
      </x:c>
      <x:c r="O28">
        <x:v>1.95708746516037</x:v>
      </x:c>
      <x:c r="P28">
        <x:v>4.4260282176106402</x:v>
      </x:c>
      <x:c r="Q28">
        <x:v>3.6445057923567701</x:v>
      </x:c>
      <x:c r="R28">
        <x:v>5.1013414800131303</x:v>
      </x:c>
      <x:c r="S28">
        <x:v>3.95589148661232</x:v>
      </x:c>
      <x:c r="T28">
        <x:v>0.84881372369502295</x:v>
      </x:c>
      <x:c r="U28">
        <x:v>1.66984352073526</x:v>
      </x:c>
      <x:c r="V28">
        <x:v>0.78771551542211005</x:v>
      </x:c>
      <x:c r="W28">
        <x:v>1.8885793992133</x:v>
      </x:c>
      <x:c r="X28">
        <x:v>0.21973708284133001</x:v>
      </x:c>
      <x:c r="Y28">
        <x:v>1.0939608187463901</x:v>
      </x:c>
    </x:row>
    <x:row r="29">
      <x:c r="A29">
        <x:v>27</x:v>
      </x:c>
      <x:c r="B29">
        <x:v>2.2193155936469302</x:v>
      </x:c>
      <x:c r="C29">
        <x:v>0.14111866996682099</x:v>
      </x:c>
      <x:c r="D29">
        <x:v>1.20004730819835</x:v>
      </x:c>
      <x:c r="E29">
        <x:v>0.91611676555421495</x:v>
      </x:c>
      <x:c r="F29">
        <x:v>0.81261567578454597</x:v>
      </x:c>
      <x:c r="G29">
        <x:v>0.55087479660171401</x:v>
      </x:c>
      <x:c r="H29">
        <x:v>0.72710235934118295</x:v>
      </x:c>
      <x:c r="I29">
        <x:v>1.5439167587554801</x:v>
      </x:c>
      <x:c r="J29">
        <x:v>1.4183266723935799</x:v>
      </x:c>
      <x:c r="K29">
        <x:v>2.2776315820281998</x:v>
      </x:c>
      <x:c r="L29">
        <x:v>3.6722378681675298</x:v>
      </x:c>
      <x:c r="M29">
        <x:v>1.4940934569203701</x:v>
      </x:c>
      <x:c r="N29">
        <x:v>5.0670164611378796</x:v>
      </x:c>
      <x:c r="O29">
        <x:v>5.2529926511217804</x:v>
      </x:c>
      <x:c r="P29">
        <x:v>3.0964232020263598</x:v>
      </x:c>
      <x:c r="Q29">
        <x:v>2.8283198676053298</x:v>
      </x:c>
      <x:c r="R29">
        <x:v>1.8087220262072701</x:v>
      </x:c>
      <x:c r="S29">
        <x:v>5.9883917396203099</x:v>
      </x:c>
      <x:c r="T29">
        <x:v>1.4235193595151501</x:v>
      </x:c>
      <x:c r="U29">
        <x:v>3.3876073996551201</x:v>
      </x:c>
      <x:c r="V29">
        <x:v>0.77678857215138997</x:v>
      </x:c>
      <x:c r="W29">
        <x:v>1.5601593396329401</x:v>
      </x:c>
      <x:c r="X29">
        <x:v>1.5439167587554801</x:v>
      </x:c>
      <x:c r="Y29">
        <x:v>2.2193155936469302</x:v>
      </x:c>
    </x:row>
    <x:row r="30">
      <x:c r="A30">
        <x:v>28</x:v>
      </x:c>
      <x:c r="B30">
        <x:v>0.93043474364206202</x:v>
      </x:c>
      <x:c r="C30">
        <x:v>1.79239129567008</x:v>
      </x:c>
      <x:c r="D30">
        <x:v>0.27334362407834201</x:v>
      </x:c>
      <x:c r="E30">
        <x:v>1.25774807068105</x:v>
      </x:c>
      <x:c r="F30">
        <x:v>1.4513337115020899</x:v>
      </x:c>
      <x:c r="G30">
        <x:v>1.81013717696929</x:v>
      </x:c>
      <x:c r="H30">
        <x:v>0.54157848440674505</x:v>
      </x:c>
      <x:c r="I30">
        <x:v>0.54732849230695102</x:v>
      </x:c>
      <x:c r="J30">
        <x:v>2.5610119912656</x:v>
      </x:c>
      <x:c r="K30">
        <x:v>2.17329588505241</x:v>
      </x:c>
      <x:c r="L30">
        <x:v>0.73659155177822599</x:v>
      </x:c>
      <x:c r="M30">
        <x:v>2.4374501080474502</x:v>
      </x:c>
      <x:c r="N30">
        <x:v>2.86822177355298</x:v>
      </x:c>
      <x:c r="O30">
        <x:v>3.7048669946870998E-2</x:v>
      </x:c>
      <x:c r="P30">
        <x:v>4.4693586612103902</x:v>
      </x:c>
      <x:c r="Q30">
        <x:v>4.1372437423728901</x:v>
      </x:c>
      <x:c r="R30">
        <x:v>2.9507322167743602</x:v>
      </x:c>
      <x:c r="S30">
        <x:v>3.38977299716265</x:v>
      </x:c>
      <x:c r="T30">
        <x:v>1.0603011355215799</x:v>
      </x:c>
      <x:c r="U30">
        <x:v>1.4202340719278099</x:v>
      </x:c>
      <x:c r="V30">
        <x:v>2.5524745037713901</x:v>
      </x:c>
      <x:c r="W30">
        <x:v>2.8171131903921598</x:v>
      </x:c>
      <x:c r="X30">
        <x:v>0.54732849230695102</x:v>
      </x:c>
      <x:c r="Y30">
        <x:v>0.93043474364206202</x:v>
      </x:c>
    </x:row>
    <x:row r="31">
      <x:c r="A31">
        <x:v>29</x:v>
      </x:c>
      <x:c r="B31">
        <x:v>0.44064063497821199</x:v>
      </x:c>
      <x:c r="C31">
        <x:v>0.494004149203153</x:v>
      </x:c>
      <x:c r="D31">
        <x:v>1.15370541860613</x:v>
      </x:c>
      <x:c r="E31">
        <x:v>0.89990083326606596</x:v>
      </x:c>
      <x:c r="F31">
        <x:v>1.30744606801138</x:v>
      </x:c>
      <x:c r="G31">
        <x:v>1.5568279787340999</x:v>
      </x:c>
      <x:c r="H31">
        <x:v>0.203484398324142</x:v>
      </x:c>
      <x:c r="I31">
        <x:v>2.2368102648602699</x:v>
      </x:c>
      <x:c r="J31">
        <x:v>2.2933993806490398</x:v>
      </x:c>
      <x:c r="K31">
        <x:v>1.76890394074505</x:v>
      </x:c>
      <x:c r="L31">
        <x:v>4.1374942071886496</x:v>
      </x:c>
      <x:c r="M31">
        <x:v>3.68835642329788</x:v>
      </x:c>
      <x:c r="N31">
        <x:v>2.6414616508918201</x:v>
      </x:c>
      <x:c r="O31">
        <x:v>3.2385879988971</x:v>
      </x:c>
      <x:c r="P31">
        <x:v>5.29667409130428</x:v>
      </x:c>
      <x:c r="Q31">
        <x:v>3.7081081921846502</x:v>
      </x:c>
      <x:c r="R31">
        <x:v>4.4650563674060004</x:v>
      </x:c>
      <x:c r="S31">
        <x:v>3.12177930583873</x:v>
      </x:c>
      <x:c r="T31">
        <x:v>0.39838129618527002</x:v>
      </x:c>
      <x:c r="U31">
        <x:v>0.67260261673194099</x:v>
      </x:c>
      <x:c r="V31">
        <x:v>2.1952831934704502</x:v>
      </x:c>
      <x:c r="W31">
        <x:v>2.5227393187139402</x:v>
      </x:c>
      <x:c r="X31">
        <x:v>2.2368102648602699</x:v>
      </x:c>
      <x:c r="Y31">
        <x:v>0.44064063497821199</x:v>
      </x:c>
    </x:row>
    <x:row r="32">
      <x:c r="A32">
        <x:v>30</x:v>
      </x:c>
      <x:c r="B32">
        <x:v>1.2655285617782901</x:v>
      </x:c>
      <x:c r="C32">
        <x:v>1.2655285617782901</x:v>
      </x:c>
      <x:c r="D32">
        <x:v>1.2655285617782901</x:v>
      </x:c>
      <x:c r="E32">
        <x:v>1.2655285617782901</x:v>
      </x:c>
      <x:c r="F32">
        <x:v>1.2655285617782901</x:v>
      </x:c>
      <x:c r="G32">
        <x:v>1.2655285617782901</x:v>
      </x:c>
      <x:c r="H32">
        <x:v>1.33213532818767</x:v>
      </x:c>
      <x:c r="I32">
        <x:v>1.33213532818767</x:v>
      </x:c>
      <x:c r="J32">
        <x:v>1.33213532818767</x:v>
      </x:c>
      <x:c r="K32">
        <x:v>1.33213532818767</x:v>
      </x:c>
      <x:c r="L32">
        <x:v>0.93249472973137204</x:v>
      </x:c>
      <x:c r="M32">
        <x:v>0.93249472973137204</x:v>
      </x:c>
      <x:c r="N32">
        <x:v>0.93249472973137204</x:v>
      </x:c>
      <x:c r="O32">
        <x:v>0.93249472973137204</x:v>
      </x:c>
      <x:c r="P32">
        <x:v>0.93249472973137204</x:v>
      </x:c>
      <x:c r="Q32">
        <x:v>1.33213532818767</x:v>
      </x:c>
      <x:c r="R32">
        <x:v>1.33213532818767</x:v>
      </x:c>
      <x:c r="S32">
        <x:v>1.79838269305336</x:v>
      </x:c>
      <x:c r="T32">
        <x:v>2.0119254749363198</x:v>
      </x:c>
      <x:c r="U32">
        <x:v>1.89316348972443</x:v>
      </x:c>
      <x:c r="V32">
        <x:v>1.8784440781804099</x:v>
      </x:c>
      <x:c r="W32">
        <x:v>1.79838269305336</x:v>
      </x:c>
      <x:c r="X32">
        <x:v>1.33213532818767</x:v>
      </x:c>
      <x:c r="Y32">
        <x:v>1.33213532818767</x:v>
      </x:c>
    </x:row>
    <x:row r="33">
      <x:c r="A33">
        <x:v>31</x:v>
      </x:c>
      <x:c r="B33">
        <x:v>0.318476598537211</x:v>
      </x:c>
      <x:c r="C33">
        <x:v>1.2889683857570799</x:v>
      </x:c>
      <x:c r="D33">
        <x:v>0.41301795803243402</x:v>
      </x:c>
      <x:c r="E33">
        <x:v>0.88315052487727097</x:v>
      </x:c>
      <x:c r="F33">
        <x:v>0.64290494949145305</x:v>
      </x:c>
      <x:c r="G33">
        <x:v>0.95846068508211502</x:v>
      </x:c>
      <x:c r="H33">
        <x:v>1.1513262420482899</x:v>
      </x:c>
      <x:c r="I33">
        <x:v>1.0172120148152901</x:v>
      </x:c>
      <x:c r="J33">
        <x:v>1.6794759957177099</x:v>
      </x:c>
      <x:c r="K33">
        <x:v>2.47735305635211</x:v>
      </x:c>
      <x:c r="L33">
        <x:v>3.1768078867220102</x:v>
      </x:c>
      <x:c r="M33">
        <x:v>4.0417779189428096</x:v>
      </x:c>
      <x:c r="N33">
        <x:v>1.6680153794213499</x:v>
      </x:c>
      <x:c r="O33">
        <x:v>1.4680992861039499</x:v>
      </x:c>
      <x:c r="P33">
        <x:v>1.2201031326957701</x:v>
      </x:c>
      <x:c r="Q33">
        <x:v>4.2884976027895796</x:v>
      </x:c>
      <x:c r="R33">
        <x:v>4.8929019220112204</x:v>
      </x:c>
      <x:c r="S33">
        <x:v>1.97132367662436</x:v>
      </x:c>
      <x:c r="T33">
        <x:v>2.2540639204617401</x:v>
      </x:c>
      <x:c r="U33">
        <x:v>0.48612900522578401</x:v>
      </x:c>
      <x:c r="V33">
        <x:v>1.35152544937806</x:v>
      </x:c>
      <x:c r="W33">
        <x:v>1.84742359528949</x:v>
      </x:c>
      <x:c r="X33">
        <x:v>1.0172120148152901</x:v>
      </x:c>
      <x:c r="Y33">
        <x:v>0.318476598537211</x:v>
      </x:c>
    </x:row>
    <x:row r="34">
      <x:c r="A34">
        <x:v>32</x:v>
      </x:c>
      <x:c r="B34">
        <x:v>0.44010509543424398</x:v>
      </x:c>
      <x:c r="C34">
        <x:v>1.51367885900923</x:v>
      </x:c>
      <x:c r="D34">
        <x:v>0.51968393142859204</x:v>
      </x:c>
      <x:c r="E34">
        <x:v>1.1752352298964699</x:v>
      </x:c>
      <x:c r="F34">
        <x:v>0.31889251882559699</x:v>
      </x:c>
      <x:c r="G34">
        <x:v>0.89597745929931805</x:v>
      </x:c>
      <x:c r="H34">
        <x:v>1.15748965560619</x:v>
      </x:c>
      <x:c r="I34">
        <x:v>2.18347046921114</x:v>
      </x:c>
      <x:c r="J34">
        <x:v>2.4433201876275801</x:v>
      </x:c>
      <x:c r="K34">
        <x:v>2.5132496020309301</x:v>
      </x:c>
      <x:c r="L34">
        <x:v>2.1190450432080898</x:v>
      </x:c>
      <x:c r="M34">
        <x:v>1.58446296537945</x:v>
      </x:c>
      <x:c r="N34">
        <x:v>4.4708841118000899</x:v>
      </x:c>
      <x:c r="O34">
        <x:v>4.0262588301041102</x:v>
      </x:c>
      <x:c r="P34">
        <x:v>1.8388449405656599</x:v>
      </x:c>
      <x:c r="Q34">
        <x:v>2.0635482981647701</x:v>
      </x:c>
      <x:c r="R34">
        <x:v>1.91812168905324</x:v>
      </x:c>
      <x:c r="S34">
        <x:v>5.28385997741381</x:v>
      </x:c>
      <x:c r="T34">
        <x:v>2.2661306376270201</x:v>
      </x:c>
      <x:c r="U34">
        <x:v>0.67178515853575405</x:v>
      </x:c>
      <x:c r="V34">
        <x:v>1.26341785026725</x:v>
      </x:c>
      <x:c r="W34">
        <x:v>2.6876522063903399</x:v>
      </x:c>
      <x:c r="X34">
        <x:v>2.18347046921114</x:v>
      </x:c>
      <x:c r="Y34">
        <x:v>0.44010509543424398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</x:row>
    <x:row r="2">
      <x:c r="A2">
        <x:v>0</x:v>
      </x:c>
      <x:c r="B2">
        <x:v>9.3406882171476996E-2</x:v>
      </x:c>
      <x:c r="C2">
        <x:v>8.6047051750480594E-2</x:v>
      </x:c>
      <x:c r="D2">
        <x:v>0.14026014506086401</x:v>
      </x:c>
      <x:c r="E2">
        <x:v>0.14688287156865801</x:v>
      </x:c>
      <x:c r="F2">
        <x:v>0.22284502828191799</x:v>
      </x:c>
      <x:c r="G2">
        <x:v>7.0683066801401203E-3</x:v>
      </x:c>
      <x:c r="H2">
        <x:v>2.3481805160037599E-2</x:v>
      </x:c>
      <x:c r="I2">
        <x:v>0.26944164801456899</x:v>
      </x:c>
      <x:c r="J2">
        <x:v>0.24934325204590799</x:v>
      </x:c>
      <x:c r="K2">
        <x:v>0.27696238043541599</x:v>
      </x:c>
      <x:c r="L2">
        <x:v>0.45847682850206001</x:v>
      </x:c>
      <x:c r="M2">
        <x:v>0.57719940425068195</x:v>
      </x:c>
      <x:c r="N2">
        <x:v>0.12788424937265899</x:v>
      </x:c>
      <x:c r="O2">
        <x:v>0.68359995044700295</x:v>
      </x:c>
      <x:c r="P2">
        <x:v>0.70562184035674302</x:v>
      </x:c>
      <x:c r="Q2">
        <x:v>0.78131644062426597</x:v>
      </x:c>
      <x:c r="R2">
        <x:v>0.72158786463649405</x:v>
      </x:c>
      <x:c r="S2">
        <x:v>0.145354329431479</x:v>
      </x:c>
      <x:c r="T2">
        <x:v>4.59726251912645E-2</x:v>
      </x:c>
      <x:c r="U2">
        <x:v>0.14257812008738999</x:v>
      </x:c>
      <x:c r="V2">
        <x:v>9.9670195250626103E-3</x:v>
      </x:c>
      <x:c r="W2">
        <x:v>0.27427757725049901</x:v>
      </x:c>
      <x:c r="X2">
        <x:v>0.26944164801456899</x:v>
      </x:c>
      <x:c r="Y2">
        <x:v>9.3406882171476996E-2</x:v>
      </x:c>
    </x:row>
    <x:row r="3">
      <x:c r="A3">
        <x:v>1</x:v>
      </x:c>
      <x:c r="B3">
        <x:v>0.35310331095446501</x:v>
      </x:c>
      <x:c r="C3">
        <x:v>0.20673754903553099</x:v>
      </x:c>
      <x:c r="D3">
        <x:v>0.13407678177596799</x:v>
      </x:c>
      <x:c r="E3">
        <x:v>4.8536524634670897E-2</x:v>
      </x:c>
      <x:c r="F3">
        <x:v>0.13732662395926601</x:v>
      </x:c>
      <x:c r="G3">
        <x:v>9.2939450158631108E-3</x:v>
      </x:c>
      <x:c r="H3">
        <x:v>9.6463273751922707E-2</x:v>
      </x:c>
      <x:c r="I3">
        <x:v>0.30038704713179998</x:v>
      </x:c>
      <x:c r="J3">
        <x:v>9.5603535024050196E-2</x:v>
      </x:c>
      <x:c r="K3">
        <x:v>3.7794893673149803E-2</x:v>
      </x:c>
      <x:c r="L3">
        <x:v>0.47132095987352002</x:v>
      </x:c>
      <x:c r="M3">
        <x:v>0.33648939256492799</x:v>
      </x:c>
      <x:c r="N3">
        <x:v>0.62148592189823604</x:v>
      </x:c>
      <x:c r="O3">
        <x:v>0.48226540014581698</x:v>
      </x:c>
      <x:c r="P3">
        <x:v>0.30694479984072298</x:v>
      </x:c>
      <x:c r="Q3">
        <x:v>0.227921903716438</x:v>
      </x:c>
      <x:c r="R3">
        <x:v>0.42066339719974</x:v>
      </x:c>
      <x:c r="S3">
        <x:v>0.70638620370974403</x:v>
      </x:c>
      <x:c r="T3">
        <x:v>0.18885557982853099</x:v>
      </x:c>
      <x:c r="U3">
        <x:v>0.53898390677570696</x:v>
      </x:c>
      <x:c r="V3">
        <x:v>1.3105392228981501E-2</x:v>
      </x:c>
      <x:c r="W3">
        <x:v>0.105163888526455</x:v>
      </x:c>
      <x:c r="X3">
        <x:v>0.30038704713179998</x:v>
      </x:c>
      <x:c r="Y3">
        <x:v>0.35310331095446501</x:v>
      </x:c>
    </x:row>
    <x:row r="4">
      <x:c r="A4">
        <x:v>2</x:v>
      </x:c>
      <x:c r="B4">
        <x:v>0.23813766447821</x:v>
      </x:c>
      <x:c r="C4">
        <x:v>2.88939700966469E-2</x:v>
      </x:c>
      <x:c r="D4">
        <x:v>0.14075904145708801</x:v>
      </x:c>
      <x:c r="E4">
        <x:v>0.16764778363586999</x:v>
      </x:c>
      <x:c r="F4">
        <x:v>0.12674193421703001</x:v>
      </x:c>
      <x:c r="G4">
        <x:v>0.16452243782697801</x:v>
      </x:c>
      <x:c r="H4">
        <x:v>6.0965580531224299E-2</x:v>
      </x:c>
      <x:c r="I4">
        <x:v>0.288943875621755</x:v>
      </x:c>
      <x:c r="J4">
        <x:v>0.32326295498674801</x:v>
      </x:c>
      <x:c r="K4">
        <x:v>0.18522925528727099</x:v>
      </x:c>
      <x:c r="L4">
        <x:v>0.10575106045364099</x:v>
      </x:c>
      <x:c r="M4">
        <x:v>0.507571458190479</x:v>
      </x:c>
      <x:c r="N4">
        <x:v>0.108131172054306</x:v>
      </x:c>
      <x:c r="O4">
        <x:v>0.58278857751093005</x:v>
      </x:c>
      <x:c r="P4">
        <x:v>6.91347043816299E-2</x:v>
      </x:c>
      <x:c r="Q4">
        <x:v>1.538265696167E-2</x:v>
      </x:c>
      <x:c r="R4">
        <x:v>0.63454224305995999</x:v>
      </x:c>
      <x:c r="S4">
        <x:v>0.1229028131431</x:v>
      </x:c>
      <x:c r="T4">
        <x:v>0.119358276087721</x:v>
      </x:c>
      <x:c r="U4">
        <x:v>0.36349806067794299</x:v>
      </x:c>
      <x:c r="V4">
        <x:v>0.23199309598998399</x:v>
      </x:c>
      <x:c r="W4">
        <x:v>0.355589250485423</x:v>
      </x:c>
      <x:c r="X4">
        <x:v>0.288943875621755</x:v>
      </x:c>
      <x:c r="Y4">
        <x:v>0.23813766447821</x:v>
      </x:c>
    </x:row>
    <x:row r="5">
      <x:c r="A5">
        <x:v>3</x:v>
      </x:c>
      <x:c r="B5">
        <x:v>0.156956500603359</x:v>
      </x:c>
      <x:c r="C5">
        <x:v>2.67079222094335E-2</x:v>
      </x:c>
      <x:c r="D5">
        <x:v>0.153552997050936</x:v>
      </x:c>
      <x:c r="E5">
        <x:v>0.16885196807299299</x:v>
      </x:c>
      <x:c r="F5">
        <x:v>0.145555002399675</x:v>
      </x:c>
      <x:c r="G5">
        <x:v>0.15248054079352599</x:v>
      </x:c>
      <x:c r="H5">
        <x:v>0.16101841611304399</x:v>
      </x:c>
      <x:c r="I5">
        <x:v>0.26842647178958101</x:v>
      </x:c>
      <x:c r="J5">
        <x:v>0.25778914683360199</x:v>
      </x:c>
      <x:c r="K5">
        <x:v>8.4514495872268697E-2</x:v>
      </x:c>
      <x:c r="L5">
        <x:v>0.33431768197876099</x:v>
      </x:c>
      <x:c r="M5">
        <x:v>0.45488109916378999</x:v>
      </x:c>
      <x:c r="N5">
        <x:v>9.7219230987149102E-2</x:v>
      </x:c>
      <x:c r="O5">
        <x:v>0.73854814489045795</x:v>
      </x:c>
      <x:c r="P5">
        <x:v>1.66141020837435E-2</x:v>
      </x:c>
      <x:c r="Q5">
        <x:v>0.33633761620572</x:v>
      </x:c>
      <x:c r="R5">
        <x:v>0.56867120546532002</x:v>
      </x:c>
      <x:c r="S5">
        <x:v>0.110500207784011</x:v>
      </x:c>
      <x:c r="T5">
        <x:v>0.31524149197242501</x:v>
      </x:c>
      <x:c r="U5">
        <x:v>0.23958151981178</x:v>
      </x:c>
      <x:c r="V5">
        <x:v>0.215012816513934</x:v>
      </x:c>
      <x:c r="W5">
        <x:v>0.28356806151696201</x:v>
      </x:c>
      <x:c r="X5">
        <x:v>0.26842647178958101</x:v>
      </x:c>
      <x:c r="Y5">
        <x:v>0.156956500603359</x:v>
      </x:c>
    </x:row>
    <x:row r="6">
      <x:c r="A6">
        <x:v>4</x:v>
      </x:c>
      <x:c r="B6">
        <x:v>0.235907976973453</x:v>
      </x:c>
      <x:c r="C6">
        <x:v>0.23773776112235201</x:v>
      </x:c>
      <x:c r="D6">
        <x:v>0.21017389436443101</x:v>
      </x:c>
      <x:c r="E6">
        <x:v>0.22889599958340301</x:v>
      </x:c>
      <x:c r="F6">
        <x:v>0.21810123508071899</x:v>
      </x:c>
      <x:c r="G6">
        <x:v>0.21037119323150899</x:v>
      </x:c>
      <x:c r="H6">
        <x:v>0.229905067077708</x:v>
      </x:c>
      <x:c r="I6">
        <x:v>0.24908683608726101</x:v>
      </x:c>
      <x:c r="J6">
        <x:v>0.25326374821013398</x:v>
      </x:c>
      <x:c r="K6">
        <x:v>0.23643568916574201</x:v>
      </x:c>
      <x:c r="L6">
        <x:v>0.167199206544484</x:v>
      </x:c>
      <x:c r="M6">
        <x:v>0.17312215004132001</x:v>
      </x:c>
      <x:c r="N6">
        <x:v>0.169021929851048</x:v>
      </x:c>
      <x:c r="O6">
        <x:v>0.16310554769518201</x:v>
      </x:c>
      <x:c r="P6">
        <x:v>0.16700853910819799</x:v>
      </x:c>
      <x:c r="Q6">
        <x:v>0.22366406001742001</x:v>
      </x:c>
      <x:c r="R6">
        <x:v>0.25540175674787402</x:v>
      </x:c>
      <x:c r="S6">
        <x:v>0.31349586027121601</x:v>
      </x:c>
      <x:c r="T6">
        <x:v>0.34722587974592101</x:v>
      </x:c>
      <x:c r="U6">
        <x:v>0.352905799544598</x:v>
      </x:c>
      <x:c r="V6">
        <x:v>0.31225729239187699</x:v>
      </x:c>
      <x:c r="W6">
        <x:v>0.34190606008368102</x:v>
      </x:c>
      <x:c r="X6">
        <x:v>0.24908683608726101</x:v>
      </x:c>
      <x:c r="Y6">
        <x:v>0.248324186287845</x:v>
      </x:c>
    </x:row>
    <x:row r="7">
      <x:c r="A7">
        <x:v>5</x:v>
      </x:c>
      <x:c r="B7">
        <x:v>0.17712891266724401</x:v>
      </x:c>
      <x:c r="C7">
        <x:v>0.122281810483169</x:v>
      </x:c>
      <x:c r="D7">
        <x:v>0.18768693453233701</x:v>
      </x:c>
      <x:c r="E7">
        <x:v>0.21769923309870801</x:v>
      </x:c>
      <x:c r="F7">
        <x:v>0.20347748236002999</x:v>
      </x:c>
      <x:c r="G7">
        <x:v>0.11504860956096</x:v>
      </x:c>
      <x:c r="H7">
        <x:v>0.158390310302088</x:v>
      </x:c>
      <x:c r="I7">
        <x:v>5.54347113403642E-2</x:v>
      </x:c>
      <x:c r="J7">
        <x:v>8.4491555256992201E-4</x:v>
      </x:c>
      <x:c r="K7">
        <x:v>0.27061971683969999</x:v>
      </x:c>
      <x:c r="L7">
        <x:v>0.42308976343669702</x:v>
      </x:c>
      <x:c r="M7">
        <x:v>0.30190329378635999</x:v>
      </x:c>
      <x:c r="N7">
        <x:v>0.10770703825207099</x:v>
      </x:c>
      <x:c r="O7">
        <x:v>0.12978027625775701</x:v>
      </x:c>
      <x:c r="P7">
        <x:v>0.26486579540576699</x:v>
      </x:c>
      <x:c r="Q7">
        <x:v>0.72168199192633997</x:v>
      </x:c>
      <x:c r="R7">
        <x:v>0.37742546420822398</x:v>
      </x:c>
      <x:c r="S7">
        <x:v>0.12242073904315801</x:v>
      </x:c>
      <x:c r="T7">
        <x:v>0.31009619234206698</x:v>
      </x:c>
      <x:c r="U7">
        <x:v>0.27037309022750999</x:v>
      </x:c>
      <x:c r="V7">
        <x:v>0.16223004882446099</x:v>
      </x:c>
      <x:c r="W7">
        <x:v>9.2940710782691497E-4</x:v>
      </x:c>
      <x:c r="X7">
        <x:v>5.54347113403642E-2</x:v>
      </x:c>
      <x:c r="Y7">
        <x:v>0.17712891266724401</x:v>
      </x:c>
    </x:row>
    <x:row r="8">
      <x:c r="A8">
        <x:v>6</x:v>
      </x:c>
      <x:c r="B8">
        <x:v>2.18341807514374E-2</x:v>
      </x:c>
      <x:c r="C8">
        <x:v>1.48742725348485E-2</x:v>
      </x:c>
      <x:c r="D8">
        <x:v>0.14246777498319599</x:v>
      </x:c>
      <x:c r="E8">
        <x:v>0.11970436879672</x:v>
      </x:c>
      <x:c r="F8">
        <x:v>0.22999786656226001</x:v>
      </x:c>
      <x:c r="G8">
        <x:v>0.16893222735098401</x:v>
      </x:c>
      <x:c r="H8">
        <x:v>0.20347264225421499</x:v>
      </x:c>
      <x:c r="I8">
        <x:v>0.115275320497344</x:v>
      </x:c>
      <x:c r="J8">
        <x:v>0.175100199746764</x:v>
      </x:c>
      <x:c r="K8">
        <x:v>0.45622797108018498</x:v>
      </x:c>
      <x:c r="L8">
        <x:v>0.417065138409703</x:v>
      </x:c>
      <x:c r="M8">
        <x:v>0.291264625050486</x:v>
      </x:c>
      <x:c r="N8">
        <x:v>9.5788661483806395E-2</x:v>
      </x:c>
      <x:c r="O8">
        <x:v>0.60341405661407299</x:v>
      </x:c>
      <x:c r="P8">
        <x:v>0.24159174689000701</x:v>
      </x:c>
      <x:c r="Q8">
        <x:v>0.34399059745983901</x:v>
      </x:c>
      <x:c r="R8">
        <x:v>0.36412549508289199</x:v>
      </x:c>
      <x:c r="S8">
        <x:v>0.10887421027545501</x:v>
      </x:c>
      <x:c r="T8">
        <x:v>0.39835828017807801</x:v>
      </x:c>
      <x:c r="U8">
        <x:v>3.3328127144563402E-2</x:v>
      </x:c>
      <x:c r="V8">
        <x:v>0.23821134036960001</x:v>
      </x:c>
      <x:c r="W8">
        <x:v>0.19261021972144099</x:v>
      </x:c>
      <x:c r="X8">
        <x:v>0.115275320497344</x:v>
      </x:c>
      <x:c r="Y8">
        <x:v>2.18341807514374E-2</x:v>
      </x:c>
    </x:row>
    <x:row r="9">
      <x:c r="A9">
        <x:v>7</x:v>
      </x:c>
      <x:c r="B9">
        <x:v>0.26401591880633901</x:v>
      </x:c>
      <x:c r="C9">
        <x:v>0.26587522426728999</x:v>
      </x:c>
      <x:c r="D9">
        <x:v>0.10624576152802399</x:v>
      </x:c>
      <x:c r="E9">
        <x:v>0.123374610759436</x:v>
      </x:c>
      <x:c r="F9">
        <x:v>0.18176013543766001</x:v>
      </x:c>
      <x:c r="G9">
        <x:v>3.1455513834582199E-2</x:v>
      </x:c>
      <x:c r="H9">
        <x:v>0.118060889639252</x:v>
      </x:c>
      <x:c r="I9">
        <x:v>0.22462834274607801</x:v>
      </x:c>
      <x:c r="J9">
        <x:v>0.35503426660700399</x:v>
      </x:c>
      <x:c r="K9">
        <x:v>7.25963405214997E-2</x:v>
      </x:c>
      <x:c r="L9">
        <x:v>0.52675286036453794</x:v>
      </x:c>
      <x:c r="M9">
        <x:v>0.64258532813546598</x:v>
      </x:c>
      <x:c r="N9">
        <x:v>0.25936934605737999</x:v>
      </x:c>
      <x:c r="O9">
        <x:v>0.116686263370173</x:v>
      </x:c>
      <x:c r="P9">
        <x:v>1.93544614056247E-2</x:v>
      </x:c>
      <x:c r="Q9">
        <x:v>0.79739538332201099</x:v>
      </x:c>
      <x:c r="R9">
        <x:v>0.80333030727563304</x:v>
      </x:c>
      <x:c r="S9">
        <x:v>0.29480141265396398</x:v>
      </x:c>
      <x:c r="T9">
        <x:v>0.231139343510501</x:v>
      </x:c>
      <x:c r="U9">
        <x:v>0.40299914204873999</x:v>
      </x:c>
      <x:c r="V9">
        <x:v>4.4355421283721497E-2</x:v>
      </x:c>
      <x:c r="W9">
        <x:v>0.39053769326770499</x:v>
      </x:c>
      <x:c r="X9">
        <x:v>0.22462834274607801</x:v>
      </x:c>
      <x:c r="Y9">
        <x:v>0.26401591880633901</x:v>
      </x:c>
    </x:row>
    <x:row r="10">
      <x:c r="A10">
        <x:v>8</x:v>
      </x:c>
      <x:c r="B10">
        <x:v>4.9211778761623103E-2</x:v>
      </x:c>
      <x:c r="C10">
        <x:v>0.28031841466757301</x:v>
      </x:c>
      <x:c r="D10">
        <x:v>0.15770691851152499</x:v>
      </x:c>
      <x:c r="E10">
        <x:v>0.165935082547257</x:v>
      </x:c>
      <x:c r="F10">
        <x:v>9.0635819851203805E-3</x:v>
      </x:c>
      <x:c r="G10">
        <x:v>0.207646945275197</x:v>
      </x:c>
      <x:c r="H10">
        <x:v>0.19956161823322599</x:v>
      </x:c>
      <x:c r="I10">
        <x:v>0.19701333187784201</x:v>
      </x:c>
      <x:c r="J10">
        <x:v>0.215125597263952</x:v>
      </x:c>
      <x:c r="K10">
        <x:v>0.35420368856158901</x:v>
      </x:c>
      <x:c r="L10">
        <x:v>0.47337232111898703</x:v>
      </x:c>
      <x:c r="M10">
        <x:v>8.5395917706322294E-2</x:v>
      </x:c>
      <x:c r="N10">
        <x:v>0.46618855844268697</x:v>
      </x:c>
      <x:c r="O10">
        <x:v>0.116242423449101</x:v>
      </x:c>
      <x:c r="P10">
        <x:v>0.72694287127635604</x:v>
      </x:c>
      <x:c r="Q10">
        <x:v>0.75226642643450603</x:v>
      </x:c>
      <x:c r="R10">
        <x:v>0.106758006769558</x:v>
      </x:c>
      <x:c r="S10">
        <x:v>0.52987389481876201</x:v>
      </x:c>
      <x:c r="T10">
        <x:v>0.39070128616907501</x:v>
      </x:c>
      <x:c r="U10">
        <x:v>7.5117836489904596E-2</x:v>
      </x:c>
      <x:c r="V10">
        <x:v>0.292802965622944</x:v>
      </x:c>
      <x:c r="W10">
        <x:v>0.23663815699034699</x:v>
      </x:c>
      <x:c r="X10">
        <x:v>0.19701333187784201</x:v>
      </x:c>
      <x:c r="Y10">
        <x:v>4.9211778761623103E-2</x:v>
      </x:c>
    </x:row>
    <x:row r="11">
      <x:c r="A11">
        <x:v>9</x:v>
      </x:c>
      <x:c r="B11">
        <x:v>0.190680548791506</x:v>
      </x:c>
      <x:c r="C11">
        <x:v>8.3076932754843999E-2</x:v>
      </x:c>
      <x:c r="D11">
        <x:v>4.1842333124819497E-2</x:v>
      </x:c>
      <x:c r="E11">
        <x:v>8.7320755255427696E-3</x:v>
      </x:c>
      <x:c r="F11">
        <x:v>4.8650299204582803E-2</x:v>
      </x:c>
      <x:c r="G11">
        <x:v>0.12481007606158299</x:v>
      </x:c>
      <x:c r="H11">
        <x:v>0.14748509318248201</x:v>
      </x:c>
      <x:c r="I11">
        <x:v>0.30430595883386902</x:v>
      </x:c>
      <x:c r="J11">
        <x:v>0.35420555744474302</x:v>
      </x:c>
      <x:c r="K11">
        <x:v>8.6766698431793202E-2</x:v>
      </x:c>
      <x:c r="L11">
        <x:v>0.54618597160008198</x:v>
      </x:c>
      <x:c r="M11">
        <x:v>0.60982797087196094</x:v>
      </x:c>
      <x:c r="N11">
        <x:v>0.76613807552687196</x:v>
      </x:c>
      <x:c r="O11">
        <x:v>0.74307890708011204</x:v>
      </x:c>
      <x:c r="P11">
        <x:v>0.80424595596190795</x:v>
      </x:c>
      <x:c r="Q11">
        <x:v>0.73277562918927297</x:v>
      </x:c>
      <x:c r="R11">
        <x:v>0.76237858191896402</x:v>
      </x:c>
      <x:c r="S11">
        <x:v>0.87079907624606101</x:v>
      </x:c>
      <x:c r="T11">
        <x:v>0.28874598285637498</x:v>
      </x:c>
      <x:c r="U11">
        <x:v>0.29105857675470898</x:v>
      </x:c>
      <x:c r="V11">
        <x:v>0.175994693117318</x:v>
      </x:c>
      <x:c r="W11">
        <x:v>0.38962611318921803</x:v>
      </x:c>
      <x:c r="X11">
        <x:v>0.30430595883386902</x:v>
      </x:c>
      <x:c r="Y11">
        <x:v>0.190680548791506</x:v>
      </x:c>
    </x:row>
    <x:row r="12">
      <x:c r="A12">
        <x:v>10</x:v>
      </x:c>
      <x:c r="B12">
        <x:v>8.3162890292192704E-2</x:v>
      </x:c>
      <x:c r="C12">
        <x:v>0.12189490105600199</x:v>
      </x:c>
      <x:c r="D12">
        <x:v>1.7960849348805399E-2</x:v>
      </x:c>
      <x:c r="E12">
        <x:v>2.9202943128038901E-2</x:v>
      </x:c>
      <x:c r="F12">
        <x:v>0.18107304002065899</x:v>
      </x:c>
      <x:c r="G12">
        <x:v>1.5802142659854999E-2</x:v>
      </x:c>
      <x:c r="H12">
        <x:v>1.2657652018403499E-2</x:v>
      </x:c>
      <x:c r="I12">
        <x:v>8.8006840126286803E-2</x:v>
      </x:c>
      <x:c r="J12">
        <x:v>0.41935006199989699</x:v>
      </x:c>
      <x:c r="K12">
        <x:v>0.18300845100723101</x:v>
      </x:c>
      <x:c r="L12">
        <x:v>0.33844474638605698</x:v>
      </x:c>
      <x:c r="M12">
        <x:v>7.8965448735143606E-2</x:v>
      </x:c>
      <x:c r="N12">
        <x:v>0.30819484600817298</x:v>
      </x:c>
      <x:c r="O12">
        <x:v>0.59767875119706704</x:v>
      </x:c>
      <x:c r="P12">
        <x:v>0.74680375679043198</x:v>
      </x:c>
      <x:c r="Q12">
        <x:v>8.7498111549275406E-2</x:v>
      </x:c>
      <x:c r="R12">
        <x:v>9.8718933375939497E-2</x:v>
      </x:c>
      <x:c r="S12">
        <x:v>0.35029689266279201</x:v>
      </x:c>
      <x:c r="T12">
        <x:v>2.4781122578848E-2</x:v>
      </x:c>
      <x:c r="U12">
        <x:v>0.12694148742837999</x:v>
      </x:c>
      <x:c r="V12">
        <x:v>2.2282601980348399E-2</x:v>
      </x:c>
      <x:c r="W12">
        <x:v>0.46128506819988702</x:v>
      </x:c>
      <x:c r="X12">
        <x:v>8.8006840126286803E-2</x:v>
      </x:c>
      <x:c r="Y12">
        <x:v>8.3162890292192704E-2</x:v>
      </x:c>
    </x:row>
    <x:row r="13">
      <x:c r="A13">
        <x:v>11</x:v>
      </x:c>
      <x:c r="B13">
        <x:v>1.6363612321335201E-2</x:v>
      </x:c>
      <x:c r="C13">
        <x:v>0.255659533725345</x:v>
      </x:c>
      <x:c r="D13">
        <x:v>0.190888145602574</x:v>
      </x:c>
      <x:c r="E13">
        <x:v>8.0248402298284699E-2</x:v>
      </x:c>
      <x:c r="F13">
        <x:v>6.3006132684335095E-2</x:v>
      </x:c>
      <x:c r="G13">
        <x:v>0.19101187138364101</x:v>
      </x:c>
      <x:c r="H13">
        <x:v>2.60083710158397E-2</x:v>
      </x:c>
      <x:c r="I13">
        <x:v>0.130407351713071</x:v>
      </x:c>
      <x:c r="J13">
        <x:v>2.2125446985497701E-2</x:v>
      </x:c>
      <x:c r="K13">
        <x:v>5.0877057057084799E-2</x:v>
      </x:c>
      <x:c r="L13">
        <x:v>0.208946676287599</x:v>
      </x:c>
      <x:c r="M13">
        <x:v>4.8713921973932699E-2</x:v>
      </x:c>
      <x:c r="N13">
        <x:v>0.75420965757916603</x:v>
      </x:c>
      <x:c r="O13">
        <x:v>8.4126403299735003E-2</x:v>
      </x:c>
      <x:c r="P13">
        <x:v>0.47071413493959102</x:v>
      </x:c>
      <x:c r="Q13">
        <x:v>0.21536295394180799</x:v>
      </x:c>
      <x:c r="R13">
        <x:v>6.08998808321232E-2</x:v>
      </x:c>
      <x:c r="S13">
        <x:v>0.85724113458809703</x:v>
      </x:c>
      <x:c r="T13">
        <x:v>5.0919130126392403E-2</x:v>
      </x:c>
      <x:c r="U13">
        <x:v>2.49777428426711E-2</x:v>
      </x:c>
      <x:c r="V13">
        <x:v>0.26934584728032201</x:v>
      </x:c>
      <x:c r="W13">
        <x:v>2.4337991684047499E-2</x:v>
      </x:c>
      <x:c r="X13">
        <x:v>0.130407351713071</x:v>
      </x:c>
      <x:c r="Y13">
        <x:v>1.6363612321335201E-2</x:v>
      </x:c>
    </x:row>
    <x:row r="14">
      <x:c r="A14">
        <x:v>12</x:v>
      </x:c>
      <x:c r="B14">
        <x:v>0.21781140313641201</x:v>
      </x:c>
      <x:c r="C14">
        <x:v>7.2488197326334797E-2</x:v>
      </x:c>
      <x:c r="D14">
        <x:v>6.86759787735996E-2</x:v>
      </x:c>
      <x:c r="E14">
        <x:v>0.13840157898409</x:v>
      </x:c>
      <x:c r="F14">
        <x:v>0.20826912088164701</x:v>
      </x:c>
      <x:c r="G14">
        <x:v>3.6258838792079397E-2</x:v>
      </x:c>
      <x:c r="H14">
        <x:v>0.13176179313794001</x:v>
      </x:c>
      <x:c r="I14">
        <x:v>1.10226442700767E-2</x:v>
      </x:c>
      <x:c r="J14">
        <x:v>0.161084607091174</x:v>
      </x:c>
      <x:c r="K14">
        <x:v>0.35977208941690803</x:v>
      </x:c>
      <x:c r="L14">
        <x:v>0.205933846538845</x:v>
      </x:c>
      <x:c r="M14">
        <x:v>0.54931306312741601</x:v>
      </x:c>
      <x:c r="N14">
        <x:v>0.14507429853282899</x:v>
      </x:c>
      <x:c r="O14">
        <x:v>0.41575226928390102</x:v>
      </x:c>
      <x:c r="P14">
        <x:v>0.39422789437567801</x:v>
      </x:c>
      <x:c r="Q14">
        <x:v>0.71375169362366497</x:v>
      </x:c>
      <x:c r="R14">
        <x:v>0.68672565723386203</x:v>
      </x:c>
      <x:c r="S14">
        <x:v>0.16489268603776799</x:v>
      </x:c>
      <x:c r="T14">
        <x:v>0.25796294148493498</x:v>
      </x:c>
      <x:c r="U14">
        <x:v>0.33247165166882497</x:v>
      </x:c>
      <x:c r="V14">
        <x:v>5.1128589993436599E-2</x:v>
      </x:c>
      <x:c r="W14">
        <x:v>0.17719306780029101</x:v>
      </x:c>
      <x:c r="X14">
        <x:v>1.10226442700767E-2</x:v>
      </x:c>
      <x:c r="Y14">
        <x:v>0.21781140313641201</x:v>
      </x:c>
    </x:row>
    <x:row r="15">
      <x:c r="A15">
        <x:v>13</x:v>
      </x:c>
      <x:c r="B15">
        <x:v>0.30792115859326502</x:v>
      </x:c>
      <x:c r="C15">
        <x:v>0.31030950197331097</x:v>
      </x:c>
      <x:c r="D15">
        <x:v>0.27433149946445801</x:v>
      </x:c>
      <x:c r="E15">
        <x:v>0.29876870758387503</x:v>
      </x:c>
      <x:c r="F15">
        <x:v>0.28467873726980503</x:v>
      </x:c>
      <x:c r="G15">
        <x:v>0.27458902571057803</x:v>
      </x:c>
      <x:c r="H15">
        <x:v>0.300085802647517</x:v>
      </x:c>
      <x:c r="I15">
        <x:v>0.32512299135586797</x:v>
      </x:c>
      <x:c r="J15">
        <x:v>0.330574946125342</x:v>
      </x:c>
      <x:c r="K15">
        <x:v>0.30860996001379398</x:v>
      </x:c>
      <x:c r="L15">
        <x:v>0.21823837436766799</x:v>
      </x:c>
      <x:c r="M15">
        <x:v>0.22596935340121699</x:v>
      </x:c>
      <x:c r="N15">
        <x:v>0.22061750151526699</x:v>
      </x:c>
      <x:c r="O15">
        <x:v>0.21289508673520299</x:v>
      </x:c>
      <x:c r="P15">
        <x:v>0.21798950386044799</x:v>
      </x:c>
      <x:c r="Q15">
        <x:v>0.29193966808501698</x:v>
      </x:c>
      <x:c r="R15">
        <x:v>0.33336560235693202</x:v>
      </x:c>
      <x:c r="S15">
        <x:v>0.40919349039124803</x:v>
      </x:c>
      <x:c r="T15">
        <x:v>0.45321992310994103</x:v>
      </x:c>
      <x:c r="U15">
        <x:v>0.46063369312129598</x:v>
      </x:c>
      <x:c r="V15">
        <x:v>0.40757683774009301</x:v>
      </x:c>
      <x:c r="W15">
        <x:v>0.44627617726921098</x:v>
      </x:c>
      <x:c r="X15">
        <x:v>0.32512299135586797</x:v>
      </x:c>
      <x:c r="Y15">
        <x:v>0.32412753536133199</x:v>
      </x:c>
    </x:row>
    <x:row r="16">
      <x:c r="A16">
        <x:v>14</x:v>
      </x:c>
      <x:c r="B16">
        <x:v>0.288262765059422</x:v>
      </x:c>
      <x:c r="C16">
        <x:v>6.7267048488113101E-2</x:v>
      </x:c>
      <x:c r="D16">
        <x:v>0.19930073734342599</x:v>
      </x:c>
      <x:c r="E16">
        <x:v>0.20033559199232101</x:v>
      </x:c>
      <x:c r="F16">
        <x:v>3.8527195692527401E-3</x:v>
      </x:c>
      <x:c r="G16">
        <x:v>0.164068505640106</x:v>
      </x:c>
      <x:c r="H16">
        <x:v>6.9140030651750797E-2</x:v>
      </x:c>
      <x:c r="I16">
        <x:v>5.0268844805812903E-2</x:v>
      </x:c>
      <x:c r="J16">
        <x:v>0.136240486218417</x:v>
      </x:c>
      <x:c r="K16">
        <x:v>0.284616409827469</x:v>
      </x:c>
      <x:c r="L16">
        <x:v>2.4968737038470499E-2</x:v>
      </x:c>
      <x:c r="M16">
        <x:v>0.51579705794625097</x:v>
      </x:c>
      <x:c r="N16">
        <x:v>0.56859112848265903</x:v>
      </x:c>
      <x:c r="O16">
        <x:v>0.56967183240515196</x:v>
      </x:c>
      <x:c r="P16">
        <x:v>0.29343564101087899</x:v>
      </x:c>
      <x:c r="Q16">
        <x:v>0.579712829418362</x:v>
      </x:c>
      <x:c r="R16">
        <x:v>0.64482550551555495</x:v>
      </x:c>
      <x:c r="S16">
        <x:v>0.64626553001416398</x:v>
      </x:c>
      <x:c r="T16">
        <x:v>0.135362196100446</x:v>
      </x:c>
      <x:c r="U16">
        <x:v>0.440010009732622</x:v>
      </x:c>
      <x:c r="V16">
        <x:v>0.23135300619558899</x:v>
      </x:c>
      <x:c r="W16">
        <x:v>0.149864534840258</x:v>
      </x:c>
      <x:c r="X16">
        <x:v>5.0268844805812903E-2</x:v>
      </x:c>
      <x:c r="Y16">
        <x:v>0.288262765059422</x:v>
      </x:c>
    </x:row>
    <x:row r="17">
      <x:c r="A17">
        <x:v>15</x:v>
      </x:c>
      <x:c r="B17">
        <x:v>0.166931640360407</x:v>
      </x:c>
      <x:c r="C17">
        <x:v>0.25995936905820999</x:v>
      </x:c>
      <x:c r="D17">
        <x:v>0.13153529279874901</x:v>
      </x:c>
      <x:c r="E17">
        <x:v>0.118030953225537</x:v>
      </x:c>
      <x:c r="F17">
        <x:v>0.129011648620737</x:v>
      </x:c>
      <x:c r="G17">
        <x:v>8.0014216965258095E-2</x:v>
      </x:c>
      <x:c r="H17">
        <x:v>0.15215048851999299</x:v>
      </x:c>
      <x:c r="I17">
        <x:v>0.156800313792365</x:v>
      </x:c>
      <x:c r="J17">
        <x:v>8.9089127429819198E-2</x:v>
      </x:c>
      <x:c r="K17">
        <x:v>0.34202601897365598</x:v>
      </x:c>
      <x:c r="L17">
        <x:v>0.31582866510714902</x:v>
      </x:c>
      <x:c r="M17">
        <x:v>3.1984426734277302E-2</x:v>
      </x:c>
      <x:c r="N17">
        <x:v>5.7633588767159599E-3</x:v>
      </x:c>
      <x:c r="O17">
        <x:v>5.0837012921055601E-2</x:v>
      </x:c>
      <x:c r="P17">
        <x:v>0.56998821132807298</x:v>
      </x:c>
      <x:c r="Q17">
        <x:v>0.115279626573906</x:v>
      </x:c>
      <x:c r="R17">
        <x:v>3.99854435379597E-2</x:v>
      </x:c>
      <x:c r="S17">
        <x:v>6.55068289416032E-3</x:v>
      </x:c>
      <x:c r="T17">
        <x:v>0.29787988332777099</x:v>
      </x:c>
      <x:c r="U17">
        <x:v>0.25480777125177501</x:v>
      </x:c>
      <x:c r="V17">
        <x:v>0.112828050460243</x:v>
      </x:c>
      <x:c r="W17">
        <x:v>9.7998040172801101E-2</x:v>
      </x:c>
      <x:c r="X17">
        <x:v>0.156800313792365</x:v>
      </x:c>
      <x:c r="Y17">
        <x:v>0.166931640360407</x:v>
      </x:c>
    </x:row>
    <x:row r="18">
      <x:c r="A18">
        <x:v>16</x:v>
      </x:c>
      <x:c r="B18">
        <x:v>0.29029593276722998</x:v>
      </x:c>
      <x:c r="C18">
        <x:v>0.14607148531994199</x:v>
      </x:c>
      <x:c r="D18">
        <x:v>4.7718280827780298E-2</x:v>
      </x:c>
      <x:c r="E18">
        <x:v>0.22042467128743601</x:v>
      </x:c>
      <x:c r="F18">
        <x:v>0.196841958690508</x:v>
      </x:c>
      <x:c r="G18">
        <x:v>0.21871020297497501</x:v>
      </x:c>
      <x:c r="H18">
        <x:v>3.5155831155395299E-2</x:v>
      </x:c>
      <x:c r="I18">
        <x:v>0.20874695655807701</x:v>
      </x:c>
      <x:c r="J18">
        <x:v>4.1118105068157502E-2</x:v>
      </x:c>
      <x:c r="K18">
        <x:v>0.14270177613318299</x:v>
      </x:c>
      <x:c r="L18">
        <x:v>0.16182574486249199</x:v>
      </x:c>
      <x:c r="M18">
        <x:v>0.49287770815676002</x:v>
      </x:c>
      <x:c r="N18">
        <x:v>7.7041415391390098E-3</x:v>
      </x:c>
      <x:c r="O18">
        <x:v>0.52266067909573599</x:v>
      </x:c>
      <x:c r="P18">
        <x:v>0.53598700052083403</x:v>
      </x:c>
      <x:c r="Q18">
        <x:v>0.12967105850347899</x:v>
      </x:c>
      <x:c r="R18">
        <x:v>0.61617279979260597</x:v>
      </x:c>
      <x:c r="S18">
        <x:v>8.7565930344051298E-3</x:v>
      </x:c>
      <x:c r="T18">
        <x:v>6.8828006960252694E-2</x:v>
      </x:c>
      <x:c r="U18">
        <x:v>0.44311347730227602</x:v>
      </x:c>
      <x:c r="V18">
        <x:v>0.30840326573645099</x:v>
      </x:c>
      <x:c r="W18">
        <x:v>4.5229915574973301E-2</x:v>
      </x:c>
      <x:c r="X18">
        <x:v>0.20874695655807701</x:v>
      </x:c>
      <x:c r="Y18">
        <x:v>0.29029593276722998</x:v>
      </x:c>
    </x:row>
    <x:row r="19">
      <x:c r="A19">
        <x:v>17</x:v>
      </x:c>
      <x:c r="B19">
        <x:v>0.248665264405942</x:v>
      </x:c>
      <x:c r="C19">
        <x:v>0.13267359997623099</x:v>
      </x:c>
      <x:c r="D19">
        <x:v>9.4958297076962905E-2</x:v>
      </x:c>
      <x:c r="E19">
        <x:v>5.8238481691042197E-2</x:v>
      </x:c>
      <x:c r="F19">
        <x:v>0.14508573002698899</x:v>
      </x:c>
      <x:c r="G19">
        <x:v>7.9179632344453202E-2</x:v>
      </x:c>
      <x:c r="H19">
        <x:v>0.19228709344211001</x:v>
      </x:c>
      <x:c r="I19">
        <x:v>0.113038631859309</x:v>
      </x:c>
      <x:c r="J19">
        <x:v>9.4267594965517607E-2</x:v>
      </x:c>
      <x:c r="K19">
        <x:v>0.168692193686443</x:v>
      </x:c>
      <x:c r="L19">
        <x:v>0.61702750961082398</x:v>
      </x:c>
      <x:c r="M19">
        <x:v>0.55059665327436802</x:v>
      </x:c>
      <x:c r="N19">
        <x:v>1.4560811336037901E-2</x:v>
      </x:c>
      <x:c r="O19">
        <x:v>0.29766887709112699</x:v>
      </x:c>
      <x:c r="P19">
        <x:v>0.76542329784811403</x:v>
      </x:c>
      <x:c r="Q19">
        <x:v>0.46261055556142</x:v>
      </x:c>
      <x:c r="R19">
        <x:v>0.68833034196913101</x:v>
      </x:c>
      <x:c r="S19">
        <x:v>1.6549942452730001E-2</x:v>
      </x:c>
      <x:c r="T19">
        <x:v>0.37645923793695302</x:v>
      </x:c>
      <x:c r="U19">
        <x:v>0.37956759829480202</x:v>
      </x:c>
      <x:c r="V19">
        <x:v>0.111651202653929</x:v>
      </x:c>
      <x:c r="W19">
        <x:v>0.103694354462069</x:v>
      </x:c>
      <x:c r="X19">
        <x:v>0.113038631859309</x:v>
      </x:c>
      <x:c r="Y19">
        <x:v>0.248665264405942</x:v>
      </x:c>
    </x:row>
    <x:row r="20">
      <x:c r="A20">
        <x:v>18</x:v>
      </x:c>
      <x:c r="B20">
        <x:v>0.35041940916555298</x:v>
      </x:c>
      <x:c r="C20">
        <x:v>8.5386810138118996E-2</x:v>
      </x:c>
      <x:c r="D20">
        <x:v>8.97479661849587E-2</x:v>
      </x:c>
      <x:c r="E20">
        <x:v>6.8164309551218993E-2</x:v>
      </x:c>
      <x:c r="F20">
        <x:v>1.7489892785232299E-2</x:v>
      </x:c>
      <x:c r="G20">
        <x:v>9.9317704511128306E-3</x:v>
      </x:c>
      <x:c r="H20">
        <x:v>2.9198485261638301E-2</x:v>
      </x:c>
      <x:c r="I20">
        <x:v>0.110336313466754</x:v>
      </x:c>
      <x:c r="J20">
        <x:v>3.4632904013902198E-2</x:v>
      </x:c>
      <x:c r="K20">
        <x:v>0.38950366020654997</x:v>
      </x:c>
      <x:c r="L20">
        <x:v>9.02568759270116E-3</x:v>
      </x:c>
      <x:c r="M20">
        <x:v>0.61365273869438497</x:v>
      </x:c>
      <x:c r="N20">
        <x:v>0.80024928238691695</x:v>
      </x:c>
      <x:c r="O20">
        <x:v>0.57523645290339998</x:v>
      </x:c>
      <x:c r="P20">
        <x:v>0.27144803906826598</x:v>
      </x:c>
      <x:c r="Q20">
        <x:v>0.44615117623915401</x:v>
      </x:c>
      <x:c r="R20">
        <x:v>0.76716012885991502</x:v>
      </x:c>
      <x:c r="S20">
        <x:v>0.90957016512967004</x:v>
      </x:c>
      <x:c r="T20">
        <x:v>5.7164728603165398E-2</x:v>
      </x:c>
      <x:c r="U20">
        <x:v>0.53488714578051899</x:v>
      </x:c>
      <x:c r="V20">
        <x:v>1.40047899000782E-2</x:v>
      </x:c>
      <x:c r="W20">
        <x:v>3.8096194415292502E-2</x:v>
      </x:c>
      <x:c r="X20">
        <x:v>0.110336313466754</x:v>
      </x:c>
      <x:c r="Y20">
        <x:v>0.35041940916555298</x:v>
      </x:c>
    </x:row>
    <x:row r="21">
      <x:c r="A21">
        <x:v>19</x:v>
      </x:c>
      <x:c r="B21">
        <x:v>0.230098456608996</x:v>
      </x:c>
      <x:c r="C21">
        <x:v>0.231883180101566</x:v>
      </x:c>
      <x:c r="D21">
        <x:v>0.204998107029674</x:v>
      </x:c>
      <x:c r="E21">
        <x:v>0.223259157675881</x:v>
      </x:c>
      <x:c r="F21">
        <x:v>0.21273022735571301</x:v>
      </x:c>
      <x:c r="G21">
        <x:v>0.20519054717259599</x:v>
      </x:c>
      <x:c r="H21">
        <x:v>0.22424337565796401</x:v>
      </x:c>
      <x:c r="I21">
        <x:v>0.24295277031580201</x:v>
      </x:c>
      <x:c r="J21">
        <x:v>0.247026820906184</x:v>
      </x:c>
      <x:c r="K21">
        <x:v>0.23061317324781899</x:v>
      </x:c>
      <x:c r="L21">
        <x:v>0.16308172307570401</x:v>
      </x:c>
      <x:c r="M21">
        <x:v>0.168858806897494</x:v>
      </x:c>
      <x:c r="N21">
        <x:v>0.164859559607756</x:v>
      </x:c>
      <x:c r="O21">
        <x:v>0.159088875545949</x:v>
      </x:c>
      <x:c r="P21">
        <x:v>0.162895751056539</x:v>
      </x:c>
      <x:c r="Q21">
        <x:v>0.21815606097415399</x:v>
      </x:c>
      <x:c r="R21">
        <x:v>0.24911217838778299</x:v>
      </x:c>
      <x:c r="S21">
        <x:v>0.30577564407596802</x:v>
      </x:c>
      <x:c r="T21">
        <x:v>0.33867502086725898</x:v>
      </x:c>
      <x:c r="U21">
        <x:v>0.34421506574452798</x:v>
      </x:c>
      <x:c r="V21">
        <x:v>0.30456757743448398</x:v>
      </x:c>
      <x:c r="W21">
        <x:v>0.33348620822334801</x:v>
      </x:c>
      <x:c r="X21">
        <x:v>0.24295277031580201</x:v>
      </x:c>
      <x:c r="Y21">
        <x:v>0.24220890169368001</x:v>
      </x:c>
    </x:row>
    <x:row r="22">
      <x:c r="A22">
        <x:v>20</x:v>
      </x:c>
      <x:c r="B22">
        <x:v>0.19928562389669299</x:v>
      </x:c>
      <x:c r="C22">
        <x:v>2.5691877174616299E-2</x:v>
      </x:c>
      <x:c r="D22">
        <x:v>5.1669231995493899E-2</x:v>
      </x:c>
      <x:c r="E22">
        <x:v>2.57170240869815E-2</x:v>
      </x:c>
      <x:c r="F22">
        <x:v>0.1690413903063</x:v>
      </x:c>
      <x:c r="G22">
        <x:v>5.67698792167073E-2</x:v>
      </x:c>
      <x:c r="H22">
        <x:v>0.101589624807448</x:v>
      </x:c>
      <x:c r="I22">
        <x:v>0.17648042828026</x:v>
      </x:c>
      <x:c r="J22">
        <x:v>6.9720066305087605E-2</x:v>
      </x:c>
      <x:c r="K22">
        <x:v>0.38412576610772597</x:v>
      </x:c>
      <x:c r="L22">
        <x:v>0.33494108647804399</x:v>
      </x:c>
      <x:c r="M22">
        <x:v>0.16442356698069699</x:v>
      </x:c>
      <x:c r="N22">
        <x:v>0.55646482275834097</x:v>
      </x:c>
      <x:c r="O22">
        <x:v>0.19934965464552401</x:v>
      </x:c>
      <x:c r="P22">
        <x:v>0.55793276679193404</x:v>
      </x:c>
      <x:c r="Q22">
        <x:v>0.41935649782203999</x:v>
      </x:c>
      <x:c r="R22">
        <x:v>0.205554700368311</x:v>
      </x:c>
      <x:c r="S22">
        <x:v>0.63248266742017001</x:v>
      </x:c>
      <x:c r="T22">
        <x:v>0.19889193836520599</x:v>
      </x:c>
      <x:c r="U22">
        <x:v>0.30419353429944401</x:v>
      </x:c>
      <x:c r="V22">
        <x:v>8.0051208895360298E-2</x:v>
      </x:c>
      <x:c r="W22">
        <x:v>7.6692072935596295E-2</x:v>
      </x:c>
      <x:c r="X22">
        <x:v>0.17648042828026</x:v>
      </x:c>
      <x:c r="Y22">
        <x:v>0.19928562389669299</x:v>
      </x:c>
    </x:row>
    <x:row r="23">
      <x:c r="A23">
        <x:v>21</x:v>
      </x:c>
      <x:c r="B23">
        <x:v>2.1289754137033701E-2</x:v>
      </x:c>
      <x:c r="C23">
        <x:v>0.214214361875219</x:v>
      </x:c>
      <x:c r="D23">
        <x:v>4.0728368578176299E-2</x:v>
      </x:c>
      <x:c r="E23">
        <x:v>7.8789911670217594E-2</x:v>
      </x:c>
      <x:c r="F23">
        <x:v>4.2894285605557698E-2</x:v>
      </x:c>
      <x:c r="G23">
        <x:v>0.118749182070518</x:v>
      </x:c>
      <x:c r="H23">
        <x:v>0.12703914311735701</x:v>
      </x:c>
      <x:c r="I23">
        <x:v>2.1666174976612801E-2</x:v>
      </x:c>
      <x:c r="J23">
        <x:v>0.39056641074403298</x:v>
      </x:c>
      <x:c r="K23">
        <x:v>0.16297332244909299</x:v>
      </x:c>
      <x:c r="L23">
        <x:v>0.15646540289965399</x:v>
      </x:c>
      <x:c r="M23">
        <x:v>0.45224325484496603</x:v>
      </x:c>
      <x:c r="N23">
        <x:v>0.75566709983638003</x:v>
      </x:c>
      <x:c r="O23">
        <x:v>0.72285091907379195</x:v>
      </x:c>
      <x:c r="P23">
        <x:v>0.40085206318282102</x:v>
      </x:c>
      <x:c r="Q23">
        <x:v>0.30356640744799301</x:v>
      </x:c>
      <x:c r="R23">
        <x:v>0.56537349511557999</x:v>
      </x:c>
      <x:c r="S23">
        <x:v>0.85889767589808497</x:v>
      </x:c>
      <x:c r="T23">
        <x:v>0.24871694792413199</x:v>
      </x:c>
      <x:c r="U23">
        <x:v>3.2497103547557797E-2</x:v>
      </x:c>
      <x:c r="V23">
        <x:v>0.16744822626437</x:v>
      </x:c>
      <x:c r="W23">
        <x:v>0.42962305181843602</x:v>
      </x:c>
      <x:c r="X23">
        <x:v>2.1666174976612801E-2</x:v>
      </x:c>
      <x:c r="Y23">
        <x:v>2.1289754137033701E-2</x:v>
      </x:c>
    </x:row>
    <x:row r="24">
      <x:c r="A24">
        <x:v>22</x:v>
      </x:c>
      <x:c r="B24">
        <x:v>0.27593644071126899</x:v>
      </x:c>
      <x:c r="C24">
        <x:v>0.278076699518091</x:v>
      </x:c>
      <x:c r="D24">
        <x:v>0.24583584279506401</x:v>
      </x:c>
      <x:c r="E24">
        <x:v>0.267734682940374</x:v>
      </x:c>
      <x:c r="F24">
        <x:v>0.25510828118236101</x:v>
      </x:c>
      <x:c r="G24">
        <x:v>0.246066618997871</x:v>
      </x:c>
      <x:c r="H24">
        <x:v>0.26891496728848502</x:v>
      </x:c>
      <x:c r="I24">
        <x:v>0.29135146619346802</x:v>
      </x:c>
      <x:c r="J24">
        <x:v>0.29623710965129402</x:v>
      </x:c>
      <x:c r="K24">
        <x:v>0.276553694209554</x:v>
      </x:c>
      <x:c r="L24">
        <x:v>0.19556928313969199</x:v>
      </x:c>
      <x:c r="M24">
        <x:v>0.20249722160120101</x:v>
      </x:c>
      <x:c r="N24">
        <x:v>0.197701283032479</x:v>
      </x:c>
      <x:c r="O24">
        <x:v>0.19078101922910001</x:v>
      </x:c>
      <x:c r="P24">
        <x:v>0.19534626357755999</x:v>
      </x:c>
      <x:c r="Q24">
        <x:v>0.26161499677979899</x:v>
      </x:c>
      <x:c r="R24">
        <x:v>0.29873789183629001</x:v>
      </x:c>
      <x:c r="S24">
        <x:v>0.36668930390044102</x:v>
      </x:c>
      <x:c r="T24">
        <x:v>0.40614257563113698</x:v>
      </x:c>
      <x:c r="U24">
        <x:v>0.41278625454729601</x:v>
      </x:c>
      <x:c r="V24">
        <x:v>0.36524057793284598</x:v>
      </x:c>
      <x:c r="W24">
        <x:v>0.399920098029246</x:v>
      </x:c>
      <x:c r="X24">
        <x:v>0.29135146619346802</x:v>
      </x:c>
      <x:c r="Y24">
        <x:v>0.29045941127502101</x:v>
      </x:c>
    </x:row>
    <x:row r="25">
      <x:c r="A25">
        <x:v>23</x:v>
      </x:c>
      <x:c r="B25">
        <x:v>7.3942188816439894E-2</x:v>
      </x:c>
      <x:c r="C25">
        <x:v>0.27194470191263098</x:v>
      </x:c>
      <x:c r="D25">
        <x:v>8.0381060668127793E-2</x:v>
      </x:c>
      <x:c r="E25">
        <x:v>0.14596770442981799</x:v>
      </x:c>
      <x:c r="F25">
        <x:v>9.6135076905051006E-2</x:v>
      </x:c>
      <x:c r="G25">
        <x:v>9.8688152483400696E-2</x:v>
      </x:c>
      <x:c r="H25">
        <x:v>0.18013628609379101</x:v>
      </x:c>
      <x:c r="I25">
        <x:v>0.20470651816778701</x:v>
      </x:c>
      <x:c r="J25">
        <x:v>0.17528676734540199</x:v>
      </x:c>
      <x:c r="K25">
        <x:v>0.16024262767376399</x:v>
      </x:c>
      <x:c r="L25">
        <x:v>0.60424469814196802</x:v>
      </x:c>
      <x:c r="M25">
        <x:v>0.63108748320720898</x:v>
      </x:c>
      <x:c r="N25">
        <x:v>0.68109248519012999</x:v>
      </x:c>
      <x:c r="O25">
        <x:v>0.142658545143454</x:v>
      </x:c>
      <x:c r="P25">
        <x:v>0.55759062284137095</x:v>
      </x:c>
      <x:c r="Q25">
        <x:v>0.17588256400993299</x:v>
      </x:c>
      <x:c r="R25">
        <x:v>0.78895623601256104</x:v>
      </x:c>
      <x:c r="S25">
        <x:v>0.774135532337073</x:v>
      </x:c>
      <x:c r="T25">
        <x:v>0.352670414710272</x:v>
      </x:c>
      <x:c r="U25">
        <x:v>0.112866825564746</x:v>
      </x:c>
      <x:c r="V25">
        <x:v>0.13916016766195399</x:v>
      </x:c>
      <x:c r="W25">
        <x:v>0.192815444079942</x:v>
      </x:c>
      <x:c r="X25">
        <x:v>0.20470651816778701</x:v>
      </x:c>
      <x:c r="Y25">
        <x:v>7.3942188816439894E-2</x:v>
      </x:c>
    </x:row>
    <x:row r="26">
      <x:c r="A26">
        <x:v>24</x:v>
      </x:c>
      <x:c r="B26">
        <x:v>8.2563816780088894E-2</x:v>
      </x:c>
      <x:c r="C26">
        <x:v>6.7325849165206494E-2</x:v>
      </x:c>
      <x:c r="D26">
        <x:v>0.16957789112059399</x:v>
      </x:c>
      <x:c r="E26">
        <x:v>0.15496133352032801</x:v>
      </x:c>
      <x:c r="F26">
        <x:v>0.20517193107269099</x:v>
      </x:c>
      <x:c r="G26">
        <x:v>0.28112069571271903</x:v>
      </x:c>
      <x:c r="H26">
        <x:v>0.123885530090189</x:v>
      </x:c>
      <x:c r="I26">
        <x:v>0.12899876536409899</x:v>
      </x:c>
      <x:c r="J26">
        <x:v>0.21689803126989499</x:v>
      </x:c>
      <x:c r="K26">
        <x:v>0.151972867727873</x:v>
      </x:c>
      <x:c r="L26">
        <x:v>0.17283034672539199</x:v>
      </x:c>
      <x:c r="M26">
        <x:v>0.32809634003609101</x:v>
      </x:c>
      <x:c r="N26">
        <x:v>0.34466138155394199</x:v>
      </x:c>
      <x:c r="O26">
        <x:v>0.30309529229167798</x:v>
      </x:c>
      <x:c r="P26">
        <x:v>0.38573040418525301</x:v>
      </x:c>
      <x:c r="Q26">
        <x:v>0.46229359156572603</x:v>
      </x:c>
      <x:c r="R26">
        <x:v>0.41017079307114002</x:v>
      </x:c>
      <x:c r="S26">
        <x:v>0.391745068235206</x:v>
      </x:c>
      <x:c r="T26">
        <x:v>0.24254281145088399</x:v>
      </x:c>
      <x:c r="U26">
        <x:v>0.126027049721391</x:v>
      </x:c>
      <x:c r="V26">
        <x:v>0.39640830397759602</x:v>
      </x:c>
      <x:c r="W26">
        <x:v>0.238587834396884</x:v>
      </x:c>
      <x:c r="X26">
        <x:v>0.12899876536409899</x:v>
      </x:c>
      <x:c r="Y26">
        <x:v>8.2563816780088894E-2</x:v>
      </x:c>
    </x:row>
    <x:row r="27">
      <x:c r="A27">
        <x:v>25</x:v>
      </x:c>
      <x:c r="B27">
        <x:v>0.26282374942723302</x:v>
      </x:c>
      <x:c r="C27">
        <x:v>0.23412885415523299</x:v>
      </x:c>
      <x:c r="D27">
        <x:v>9.9477936459795704E-2</x:v>
      </x:c>
      <x:c r="E27">
        <x:v>5.5695253419456803E-2</x:v>
      </x:c>
      <x:c r="F27">
        <x:v>0.156282798434281</x:v>
      </x:c>
      <x:c r="G27">
        <x:v>4.9601629005182897E-2</x:v>
      </x:c>
      <x:c r="H27">
        <x:v>0.15445822234192599</x:v>
      </x:c>
      <x:c r="I27">
        <x:v>0.25030945391273002</x:v>
      </x:c>
      <x:c r="J27">
        <x:v>0.36566356550662799</x:v>
      </x:c>
      <x:c r="K27">
        <x:v>0.385996627945142</x:v>
      </x:c>
      <x:c r="L27">
        <x:v>0.21183184342094</x:v>
      </x:c>
      <x:c r="M27">
        <x:v>0.28512153789609801</x:v>
      </x:c>
      <x:c r="N27">
        <x:v>0.72196542545601305</x:v>
      </x:c>
      <x:c r="O27">
        <x:v>0.33454225326700998</x:v>
      </x:c>
      <x:c r="P27">
        <x:v>0.49876778035253799</x:v>
      </x:c>
      <x:c r="Q27">
        <x:v>0.101055879717525</x:v>
      </x:c>
      <x:c r="R27">
        <x:v>0.35644569307795798</x:v>
      </x:c>
      <x:c r="S27">
        <x:v>0.82059206512656802</x:v>
      </x:c>
      <x:c r="T27">
        <x:v>0.302397959400451</x:v>
      </x:c>
      <x:c r="U27">
        <x:v>0.401179391030966</x:v>
      </x:c>
      <x:c r="V27">
        <x:v>6.9943258992798699E-2</x:v>
      </x:c>
      <x:c r="W27">
        <x:v>0.40222992205729102</x:v>
      </x:c>
      <x:c r="X27">
        <x:v>0.25030945391273002</x:v>
      </x:c>
      <x:c r="Y27">
        <x:v>0.26282374942723302</x:v>
      </x:c>
    </x:row>
    <x:row r="28">
      <x:c r="A28">
        <x:v>26</x:v>
      </x:c>
      <x:c r="B28">
        <x:v>0.170314881443689</x:v>
      </x:c>
      <x:c r="C28">
        <x:v>0.12821325253772201</x:v>
      </x:c>
      <x:c r="D28">
        <x:v>0.137018666660945</x:v>
      </x:c>
      <x:c r="E28">
        <x:v>3.1261545729118399E-2</x:v>
      </x:c>
      <x:c r="F28">
        <x:v>0.111060017404782</x:v>
      </x:c>
      <x:c r="G28">
        <x:v>7.7555740361820294E-2</x:v>
      </x:c>
      <x:c r="H28">
        <x:v>6.2492071327740997E-2</x:v>
      </x:c>
      <x:c r="I28">
        <x:v>3.4315152938433999E-2</x:v>
      </x:c>
      <x:c r="J28">
        <x:v>0.27261352649905102</x:v>
      </x:c>
      <x:c r="K28">
        <x:v>0.32974762192794199</x:v>
      </x:c>
      <x:c r="L28">
        <x:v>0.19494158917931001</x:v>
      </x:c>
      <x:c r="M28">
        <x:v>0.65339639996628196</x:v>
      </x:c>
      <x:c r="N28">
        <x:v>0.50671447016993898</x:v>
      </x:c>
      <x:c r="O28">
        <x:v>0.285899065739804</x:v>
      </x:c>
      <x:c r="P28">
        <x:v>0.66204364848645003</x:v>
      </x:c>
      <x:c r="Q28">
        <x:v>0.51105384108835405</x:v>
      </x:c>
      <x:c r="R28">
        <x:v>0.81684580673626905</x:v>
      </x:c>
      <x:c r="S28">
        <x:v>0.57593599200907997</x:v>
      </x:c>
      <x:c r="T28">
        <x:v>0.122346836326931</x:v>
      </x:c>
      <x:c r="U28">
        <x:v>0.25997201763536898</x:v>
      </x:c>
      <x:c r="V28">
        <x:v>0.109361352505948</x:v>
      </x:c>
      <x:c r="W28">
        <x:v>0.299874879148956</x:v>
      </x:c>
      <x:c r="X28">
        <x:v>3.4315152938433999E-2</x:v>
      </x:c>
      <x:c r="Y28">
        <x:v>0.170314881443689</x:v>
      </x:c>
    </x:row>
    <x:row r="29">
      <x:c r="A29">
        <x:v>27</x:v>
      </x:c>
      <x:c r="B29">
        <x:v>0.34551737661980497</x:v>
      </x:c>
      <x:c r="C29">
        <x:v>2.2140674422201499E-2</x:v>
      </x:c>
      <x:c r="D29">
        <x:v>0.16645059088413999</x:v>
      </x:c>
      <x:c r="E29">
        <x:v>0.13838761870327501</x:v>
      </x:c>
      <x:c r="F29">
        <x:v>0.11696381451887899</x:v>
      </x:c>
      <x:c r="G29">
        <x:v>7.6479911387195801E-2</x:v>
      </x:c>
      <x:c r="H29">
        <x:v>0.104803528581029</x:v>
      </x:c>
      <x:c r="I29">
        <x:v>0.24110513808523601</x:v>
      </x:c>
      <x:c r="J29">
        <x:v>0.22520659690290801</x:v>
      </x:c>
      <x:c r="K29">
        <x:v>0.33762011738443998</x:v>
      </x:c>
      <x:c r="L29">
        <x:v>0.54991907562567299</x:v>
      </x:c>
      <x:c r="M29">
        <x:v>0.231666996826981</x:v>
      </x:c>
      <x:c r="N29">
        <x:v>0.76705965211151195</x:v>
      </x:c>
      <x:c r="O29">
        <x:v>0.76737791132431799</x:v>
      </x:c>
      <x:c r="P29">
        <x:v>0.46316182661715799</x:v>
      </x:c>
      <x:c r="Q29">
        <x:v>0.39660349427830199</x:v>
      </x:c>
      <x:c r="R29">
        <x:v>0.28961931061614299</x:v>
      </x:c>
      <x:c r="S29">
        <x:v>0.87184654805855699</x:v>
      </x:c>
      <x:c r="T29">
        <x:v>0.205184111925828</x:v>
      </x:c>
      <x:c r="U29">
        <x:v>0.52740458594411599</x:v>
      </x:c>
      <x:c r="V29">
        <x:v>0.107844326026913</x:v>
      </x:c>
      <x:c r="W29">
        <x:v>0.247727256593198</x:v>
      </x:c>
      <x:c r="X29">
        <x:v>0.24110513808523601</x:v>
      </x:c>
      <x:c r="Y29">
        <x:v>0.34551737661980497</x:v>
      </x:c>
    </x:row>
    <x:row r="30">
      <x:c r="A30">
        <x:v>28</x:v>
      </x:c>
      <x:c r="B30">
        <x:v>0.14485608656083299</x:v>
      </x:c>
      <x:c r="C30">
        <x:v>0.28121546301385703</x:v>
      </x:c>
      <x:c r="D30">
        <x:v>3.79136784286941E-2</x:v>
      </x:c>
      <x:c r="E30">
        <x:v>0.189994078238368</x:v>
      </x:c>
      <x:c r="F30">
        <x:v>0.20889767708854101</x:v>
      </x:c>
      <x:c r="G30">
        <x:v>0.25130779579551699</x:v>
      </x:c>
      <x:c r="H30">
        <x:v>7.8062373805005206E-2</x:v>
      </x:c>
      <x:c r="I30">
        <x:v>8.5473333304591698E-2</x:v>
      </x:c>
      <x:c r="J30">
        <x:v>0.40664594864251102</x:v>
      </x:c>
      <x:c r="K30">
        <x:v>0.32215412607210098</x:v>
      </x:c>
      <x:c r="L30">
        <x:v>0.11030487670170799</x:v>
      </x:c>
      <x:c r="M30">
        <x:v>0.37793937442900299</x:v>
      </x:c>
      <x:c r="N30">
        <x:v>0.43419973325015698</x:v>
      </x:c>
      <x:c r="O30">
        <x:v>5.4122160165411097E-3</x:v>
      </x:c>
      <x:c r="P30">
        <x:v>0.66852500006418503</x:v>
      </x:c>
      <x:c r="Q30">
        <x:v>0.58014842794121302</x:v>
      </x:c>
      <x:c r="R30">
        <x:v>0.47248223776377102</x:v>
      </x:c>
      <x:c r="S30">
        <x:v>0.49351512305468298</x:v>
      </x:c>
      <x:c r="T30">
        <x:v>0.152830339406161</x:v>
      </x:c>
      <x:c r="U30">
        <x:v>0.22111120749266</x:v>
      </x:c>
      <x:c r="V30">
        <x:v>0.35436913264277098</x:v>
      </x:c>
      <x:c r="W30">
        <x:v>0.44731054350676303</x:v>
      </x:c>
      <x:c r="X30">
        <x:v>8.5473333304591698E-2</x:v>
      </x:c>
      <x:c r="Y30">
        <x:v>0.14485608656083299</x:v>
      </x:c>
    </x:row>
    <x:row r="31">
      <x:c r="A31">
        <x:v>29</x:v>
      </x:c>
      <x:c r="B31">
        <x:v>6.8601778253434803E-2</x:v>
      </x:c>
      <x:c r="C31">
        <x:v>7.7506293343717003E-2</x:v>
      </x:c>
      <x:c r="D31">
        <x:v>0.16002281520178499</x:v>
      </x:c>
      <x:c r="E31">
        <x:v>0.13593805731679301</x:v>
      </x:c>
      <x:c r="F31">
        <x:v>0.18818721315544301</x:v>
      </x:c>
      <x:c r="G31">
        <x:v>0.21613997698423701</x:v>
      </x:c>
      <x:c r="H31">
        <x:v>2.9329959780189499E-2</x:v>
      </x:c>
      <x:c r="I31">
        <x:v>0.349310573074117</x:v>
      </x:c>
      <x:c r="J31">
        <x:v>0.36415353381430399</x:v>
      </x:c>
      <x:c r="K31">
        <x:v>0.26220990296609997</x:v>
      </x:c>
      <x:c r="L31">
        <x:v>0.61959139671939001</x:v>
      </x:c>
      <x:c r="M31">
        <x:v>0.57189893433718797</x:v>
      </x:c>
      <x:c r="N31">
        <x:v>0.39987212801435801</x:v>
      </x:c>
      <x:c r="O31">
        <x:v>0.47310572454407401</x:v>
      </x:c>
      <x:c r="P31">
        <x:v>0.79227453324817698</x:v>
      </x:c>
      <x:c r="Q31">
        <x:v>0.51997254024439399</x:v>
      </x:c>
      <x:c r="R31">
        <x:v>0.71496146353787404</x:v>
      </x:c>
      <x:c r="S31">
        <x:v>0.45449807393006503</x:v>
      </x:c>
      <x:c r="T31">
        <x:v>5.7422129119112202E-2</x:v>
      </x:c>
      <x:c r="U31">
        <x:v>0.104715116816238</x:v>
      </x:c>
      <x:c r="V31">
        <x:v>0.304778989966769</x:v>
      </x:c>
      <x:c r="W31">
        <x:v>0.40056888719573502</x:v>
      </x:c>
      <x:c r="X31">
        <x:v>0.349310573074117</x:v>
      </x:c>
      <x:c r="Y31">
        <x:v>6.8601778253434803E-2</x:v>
      </x:c>
    </x:row>
    <x:row r="32">
      <x:c r="A32">
        <x:v>30</x:v>
      </x:c>
      <x:c r="B32">
        <x:v>0.197025655096007</x:v>
      </x:c>
      <x:c r="C32">
        <x:v>0.198553854461057</x:v>
      </x:c>
      <x:c r="D32">
        <x:v>0.17553306061325299</x:v>
      </x:c>
      <x:c r="E32">
        <x:v>0.19116939090130999</x:v>
      </x:c>
      <x:c r="F32">
        <x:v>0.18215381807060499</x:v>
      </x:c>
      <x:c r="G32">
        <x:v>0.17569784070689101</x:v>
      </x:c>
      <x:c r="H32">
        <x:v>0.19201214402332201</x:v>
      </x:c>
      <x:c r="I32">
        <x:v>0.208032376376179</x:v>
      </x:c>
      <x:c r="J32">
        <x:v>0.211520850389841</x:v>
      </x:c>
      <x:c r="K32">
        <x:v>0.197466389833856</x:v>
      </x:c>
      <x:c r="L32">
        <x:v>0.13964145521313401</x:v>
      </x:c>
      <x:c r="M32">
        <x:v>0.14458817993831</x:v>
      </x:c>
      <x:c r="N32">
        <x:v>0.14116375750295801</x:v>
      </x:c>
      <x:c r="O32">
        <x:v>0.136222512679393</x:v>
      </x:c>
      <x:c r="P32">
        <x:v>0.139482213558732</x:v>
      </x:c>
      <x:c r="Q32">
        <x:v>0.186799778929576</x:v>
      </x:c>
      <x:c r="R32">
        <x:v>0.21330647264031799</x:v>
      </x:c>
      <x:c r="S32">
        <x:v>0.26182551362717599</x:v>
      </x:c>
      <x:c r="T32">
        <x:v>0.28999615570831699</x:v>
      </x:c>
      <x:c r="U32">
        <x:v>0.29473991186944498</x:v>
      </x:c>
      <x:c r="V32">
        <x:v>0.26079108634354498</x:v>
      </x:c>
      <x:c r="W32">
        <x:v>0.28555314802628501</x:v>
      </x:c>
      <x:c r="X32">
        <x:v>0.208032376376179</x:v>
      </x:c>
      <x:c r="Y32">
        <x:v>0.20739542641684999</x:v>
      </x:c>
    </x:row>
    <x:row r="33">
      <x:c r="A33">
        <x:v>31</x:v>
      </x:c>
      <x:c r="B33">
        <x:v>4.9582492528947399E-2</x:v>
      </x:c>
      <x:c r="C33">
        <x:v>0.20223142250609399</x:v>
      </x:c>
      <x:c r="D33">
        <x:v>5.7286977513803503E-2</x:v>
      </x:c>
      <x:c r="E33">
        <x:v>0.133407773648129</x:v>
      </x:c>
      <x:c r="F33">
        <x:v>9.2536505886363293E-2</x:v>
      </x:c>
      <x:c r="G33">
        <x:v>0.133066512963361</x:v>
      </x:c>
      <x:c r="H33">
        <x:v>0.165950572384235</x:v>
      </x:c>
      <x:c r="I33">
        <x:v>0.15885250412832899</x:v>
      </x:c>
      <x:c r="J33">
        <x:v>0.266672749612334</x:v>
      </x:c>
      <x:c r="K33">
        <x:v>0.36722542674943798</x:v>
      </x:c>
      <x:c r="L33">
        <x:v>0.47572823962470501</x:v>
      </x:c>
      <x:c r="M33">
        <x:v>0.62669878379166899</x:v>
      </x:c>
      <x:c r="N33">
        <x:v>0.25250900731596798</x:v>
      </x:c>
      <x:c r="O33">
        <x:v>0.21446574145627101</x:v>
      </x:c>
      <x:c r="P33">
        <x:v>0.18250257110555099</x:v>
      </x:c>
      <x:c r="Q33">
        <x:v>0.60135812570256397</x:v>
      </x:c>
      <x:c r="R33">
        <x:v>0.783469688007709</x:v>
      </x:c>
      <x:c r="S33">
        <x:v>0.28700389308198898</x:v>
      </x:c>
      <x:c r="T33">
        <x:v>0.32489765639823598</x:v>
      </x:c>
      <x:c r="U33">
        <x:v>7.5683701347042096E-2</x:v>
      </x:c>
      <x:c r="V33">
        <x:v>0.18763709511420401</x:v>
      </x:c>
      <x:c r="W33">
        <x:v>0.293340024573568</x:v>
      </x:c>
      <x:c r="X33">
        <x:v>0.15885250412832899</x:v>
      </x:c>
      <x:c r="Y33">
        <x:v>4.9582492528947399E-2</x:v>
      </x:c>
    </x:row>
    <x:row r="34">
      <x:c r="A34">
        <x:v>32</x:v>
      </x:c>
      <x:c r="B34">
        <x:v>6.85184020004867E-2</x:v>
      </x:c>
      <x:c r="C34">
        <x:v>0.237487150388907</x:v>
      </x:c>
      <x:c r="D34">
        <x:v>7.2081906161806306E-2</x:v>
      </x:c>
      <x:c r="E34">
        <x:v>0.17752977676724299</x:v>
      </x:c>
      <x:c r="F34">
        <x:v>4.5899785759565603E-2</x:v>
      </x:c>
      <x:c r="G34">
        <x:v>0.124391744031231</x:v>
      </x:c>
      <x:c r="H34">
        <x:v>0.166838958291217</x:v>
      </x:c>
      <x:c r="I34">
        <x:v>0.34098078539450699</x:v>
      </x:c>
      <x:c r="J34">
        <x:v>0.38795845506534199</x:v>
      </x:c>
      <x:c r="K34">
        <x:v>0.372546478697174</x:v>
      </x:c>
      <x:c r="L34">
        <x:v>0.31732783474389997</x:v>
      </x:c>
      <x:c r="M34">
        <x:v>0.24567926127568299</x:v>
      </x:c>
      <x:c r="N34">
        <x:v>0.67681540759355097</x:v>
      </x:c>
      <x:c r="O34">
        <x:v>0.58817179019593302</x:v>
      </x:c>
      <x:c r="P34">
        <x:v>0.27505373974098701</x:v>
      </x:c>
      <x:c r="Q34">
        <x:v>0.28936276799452698</x:v>
      </x:c>
      <x:c r="R34">
        <x:v>0.30713679228330998</x:v>
      </x:c>
      <x:c r="S34">
        <x:v>0.76927416943252502</x:v>
      </x:c>
      <x:c r="T34">
        <x:v>0.326636936323632</x:v>
      </x:c>
      <x:c r="U34">
        <x:v>0.10458784964781399</x:v>
      </x:c>
      <x:c r="V34">
        <x:v>0.17540480310501899</x:v>
      </x:c>
      <x:c r="W34">
        <x:v>0.42675430057187602</x:v>
      </x:c>
      <x:c r="X34">
        <x:v>0.34098078539450699</x:v>
      </x:c>
      <x:c r="Y34">
        <x:v>6.85184020004867E-2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cols>
    <x:col min="10" max="10" width="72" hidden="0" customWidth="1"/>
    <x:col min="11" max="11" width="38" hidden="0" customWidth="1"/>
    <x:col min="1" max="1" width="12" hidden="0" customWidth="1"/>
    <x:col min="2" max="2" width="12" hidden="0" customWidth="1"/>
    <x:col min="3" max="3" width="17" hidden="0" customWidth="1"/>
    <x:col min="4" max="4" width="17" hidden="0" customWidth="1"/>
  </x:cols>
  <x:sheetData>
    <x:row r="1">
      <x:c r="A1" s="1" t="s">
        <x:v>25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</x:row>
    <x:row r="2">
      <x:c r="A2">
        <x:v>0</x:v>
      </x:c>
      <x:c r="B2">
        <x:v>1</x:v>
      </x:c>
      <x:c r="C2">
        <x:v>2.0284E-2</x:v>
      </x:c>
      <x:c r="D2">
        <x:v>1.034E-2</x:v>
      </x:c>
      <x:c r="E2">
        <x:v>12.5</x:v>
      </x:c>
      <x:c r="F2">
        <x:v>-12.5</x:v>
      </x:c>
      <x:c r="G2">
        <x:v>12.5</x:v>
      </x:c>
      <x:c r="H2">
        <x:v>-12.5</x:v>
      </x:c>
      <x:c r="I2">
        <x:v>12.5</x:v>
      </x:c>
      <x:c r="J2">
        <x:v>1</x:v>
      </x:c>
      <x:c r="K2">
        <x:v>1</x:v>
      </x:c>
    </x:row>
    <x:row r="3">
      <x:c r="A3">
        <x:v>1</x:v>
      </x:c>
      <x:c r="B3">
        <x:v>2</x:v>
      </x:c>
      <x:c r="C3">
        <x:v>0.10846</x:v>
      </x:c>
      <x:c r="D3">
        <x:v>5.5241999999999999E-2</x:v>
      </x:c>
      <x:c r="E3">
        <x:v>12.5</x:v>
      </x:c>
      <x:c r="F3">
        <x:v>-12.5</x:v>
      </x:c>
      <x:c r="G3">
        <x:v>12.5</x:v>
      </x:c>
      <x:c r="H3">
        <x:v>-12.5</x:v>
      </x:c>
      <x:c r="I3">
        <x:v>12.5</x:v>
      </x:c>
      <x:c r="J3">
        <x:v>1</x:v>
      </x:c>
      <x:c r="K3">
        <x:v>1</x:v>
      </x:c>
    </x:row>
    <x:row r="4">
      <x:c r="A4">
        <x:v>2</x:v>
      </x:c>
      <x:c r="B4">
        <x:v>3</x:v>
      </x:c>
      <x:c r="C4">
        <x:v>8.0519999999999994E-2</x:v>
      </x:c>
      <x:c r="D4">
        <x:v>4.1008000000000003E-2</x:v>
      </x:c>
      <x:c r="E4">
        <x:v>12.5</x:v>
      </x:c>
      <x:c r="F4">
        <x:v>-12.5</x:v>
      </x:c>
      <x:c r="G4">
        <x:v>12.5</x:v>
      </x:c>
      <x:c r="H4">
        <x:v>-12.5</x:v>
      </x:c>
      <x:c r="I4">
        <x:v>12.5</x:v>
      </x:c>
      <x:c r="J4">
        <x:v>1</x:v>
      </x:c>
      <x:c r="K4">
        <x:v>1</x:v>
      </x:c>
    </x:row>
    <x:row r="5">
      <x:c r="A5">
        <x:v>3</x:v>
      </x:c>
      <x:c r="B5">
        <x:v>4</x:v>
      </x:c>
      <x:c r="C5">
        <x:v>8.3842E-2</x:v>
      </x:c>
      <x:c r="D5">
        <x:v>4.2701999999999997E-2</x:v>
      </x:c>
      <x:c r="E5">
        <x:v>12.5</x:v>
      </x:c>
      <x:c r="F5">
        <x:v>-12.5</x:v>
      </x:c>
      <x:c r="G5">
        <x:v>12.5</x:v>
      </x:c>
      <x:c r="H5">
        <x:v>-12.5</x:v>
      </x:c>
      <x:c r="I5">
        <x:v>12.5</x:v>
      </x:c>
      <x:c r="J5">
        <x:v>1</x:v>
      </x:c>
      <x:c r="K5">
        <x:v>1</x:v>
      </x:c>
    </x:row>
    <x:row r="6">
      <x:c r="A6">
        <x:v>4</x:v>
      </x:c>
      <x:c r="B6">
        <x:v>5</x:v>
      </x:c>
      <x:c r="C6">
        <x:v>0.18018000000000001</x:v>
      </x:c>
      <x:c r="D6">
        <x:v>0.15554000000000001</x:v>
      </x:c>
      <x:c r="E6">
        <x:v>12.5</x:v>
      </x:c>
      <x:c r="F6">
        <x:v>-12.5</x:v>
      </x:c>
      <x:c r="G6">
        <x:v>12.5</x:v>
      </x:c>
      <x:c r="H6">
        <x:v>-12.5</x:v>
      </x:c>
      <x:c r="I6">
        <x:v>12.5</x:v>
      </x:c>
      <x:c r="J6">
        <x:v>1</x:v>
      </x:c>
      <x:c r="K6">
        <x:v>1</x:v>
      </x:c>
    </x:row>
    <x:row r="7">
      <x:c r="A7">
        <x:v>5</x:v>
      </x:c>
      <x:c r="B7">
        <x:v>6</x:v>
      </x:c>
      <x:c r="C7">
        <x:v>4.1183999999999998E-2</x:v>
      </x:c>
      <x:c r="D7">
        <x:v>0.13613600000000001</x:v>
      </x:c>
      <x:c r="E7">
        <x:v>12.5</x:v>
      </x:c>
      <x:c r="F7">
        <x:v>-12.5</x:v>
      </x:c>
      <x:c r="G7">
        <x:v>12.5</x:v>
      </x:c>
      <x:c r="H7">
        <x:v>-12.5</x:v>
      </x:c>
      <x:c r="I7">
        <x:v>12.5</x:v>
      </x:c>
      <x:c r="J7">
        <x:v>1</x:v>
      </x:c>
      <x:c r="K7">
        <x:v>1</x:v>
      </x:c>
    </x:row>
    <x:row r="8">
      <x:c r="A8">
        <x:v>6</x:v>
      </x:c>
      <x:c r="B8">
        <x:v>7</x:v>
      </x:c>
      <x:c r="C8">
        <x:v>0.15650800000000001</x:v>
      </x:c>
      <x:c r="D8">
        <x:v>5.1721999999999997E-2</x:v>
      </x:c>
      <x:c r="E8">
        <x:v>12.5</x:v>
      </x:c>
      <x:c r="F8">
        <x:v>-12.5</x:v>
      </x:c>
      <x:c r="G8">
        <x:v>12.5</x:v>
      </x:c>
      <x:c r="H8">
        <x:v>-12.5</x:v>
      </x:c>
      <x:c r="I8">
        <x:v>12.5</x:v>
      </x:c>
      <x:c r="J8">
        <x:v>1</x:v>
      </x:c>
      <x:c r="K8">
        <x:v>1</x:v>
      </x:c>
    </x:row>
    <x:row r="9">
      <x:c r="A9">
        <x:v>7</x:v>
      </x:c>
      <x:c r="B9">
        <x:v>8</x:v>
      </x:c>
      <x:c r="C9">
        <x:v>0.2266</x:v>
      </x:c>
      <x:c r="D9">
        <x:v>0.1628</x:v>
      </x:c>
      <x:c r="E9">
        <x:v>12.5</x:v>
      </x:c>
      <x:c r="F9">
        <x:v>-12.5</x:v>
      </x:c>
      <x:c r="G9">
        <x:v>12.5</x:v>
      </x:c>
      <x:c r="H9">
        <x:v>-12.5</x:v>
      </x:c>
      <x:c r="I9">
        <x:v>12.5</x:v>
      </x:c>
      <x:c r="J9">
        <x:v>1</x:v>
      </x:c>
      <x:c r="K9">
        <x:v>1</x:v>
      </x:c>
    </x:row>
    <x:row r="10">
      <x:c r="A10">
        <x:v>8</x:v>
      </x:c>
      <x:c r="B10">
        <x:v>9</x:v>
      </x:c>
      <x:c r="C10">
        <x:v>0.22968</x:v>
      </x:c>
      <x:c r="D10">
        <x:v>0.1628</x:v>
      </x:c>
      <x:c r="E10">
        <x:v>13.75</x:v>
      </x:c>
      <x:c r="F10">
        <x:v>-13.75</x:v>
      </x:c>
      <x:c r="G10">
        <x:v>13.75</x:v>
      </x:c>
      <x:c r="H10">
        <x:v>-13.75</x:v>
      </x:c>
      <x:c r="I10">
        <x:v>13.75</x:v>
      </x:c>
      <x:c r="J10">
        <x:v>1</x:v>
      </x:c>
      <x:c r="K10">
        <x:v>1</x:v>
      </x:c>
    </x:row>
    <x:row r="11">
      <x:c r="A11">
        <x:v>9</x:v>
      </x:c>
      <x:c r="B11">
        <x:v>10</x:v>
      </x:c>
      <x:c r="C11">
        <x:v>4.3251999999999999E-2</x:v>
      </x:c>
      <x:c r="D11">
        <x:v>1.43E-2</x:v>
      </x:c>
      <x:c r="E11">
        <x:v>12.5</x:v>
      </x:c>
      <x:c r="F11">
        <x:v>-12.5</x:v>
      </x:c>
      <x:c r="G11">
        <x:v>12.5</x:v>
      </x:c>
      <x:c r="H11">
        <x:v>-12.5</x:v>
      </x:c>
      <x:c r="I11">
        <x:v>12.5</x:v>
      </x:c>
      <x:c r="J11">
        <x:v>1</x:v>
      </x:c>
      <x:c r="K11">
        <x:v>1</x:v>
      </x:c>
    </x:row>
    <x:row r="12">
      <x:c r="A12">
        <x:v>10</x:v>
      </x:c>
      <x:c r="B12">
        <x:v>11</x:v>
      </x:c>
      <x:c r="C12">
        <x:v>8.2367999999999997E-2</x:v>
      </x:c>
      <x:c r="D12">
        <x:v>2.7236E-2</x:v>
      </x:c>
      <x:c r="E12">
        <x:v>12.5</x:v>
      </x:c>
      <x:c r="F12">
        <x:v>-12.5</x:v>
      </x:c>
      <x:c r="G12">
        <x:v>12.5</x:v>
      </x:c>
      <x:c r="H12">
        <x:v>-12.5</x:v>
      </x:c>
      <x:c r="I12">
        <x:v>12.5</x:v>
      </x:c>
      <x:c r="J12">
        <x:v>1</x:v>
      </x:c>
      <x:c r="K12">
        <x:v>1</x:v>
      </x:c>
    </x:row>
    <x:row r="13">
      <x:c r="A13">
        <x:v>11</x:v>
      </x:c>
      <x:c r="B13">
        <x:v>12</x:v>
      </x:c>
      <x:c r="C13">
        <x:v>0.32296000000000002</x:v>
      </x:c>
      <x:c r="D13">
        <x:v>0.25409999999999999</x:v>
      </x:c>
      <x:c r="E13">
        <x:v>16.5</x:v>
      </x:c>
      <x:c r="F13">
        <x:v>-16.5</x:v>
      </x:c>
      <x:c r="G13">
        <x:v>16.5</x:v>
      </x:c>
      <x:c r="H13">
        <x:v>-16.5</x:v>
      </x:c>
      <x:c r="I13">
        <x:v>16.5</x:v>
      </x:c>
      <x:c r="J13">
        <x:v>1</x:v>
      </x:c>
      <x:c r="K13">
        <x:v>1</x:v>
      </x:c>
    </x:row>
    <x:row r="14">
      <x:c r="A14">
        <x:v>12</x:v>
      </x:c>
      <x:c r="B14">
        <x:v>13</x:v>
      </x:c>
      <x:c r="C14">
        <x:v>0.11915199999999999</x:v>
      </x:c>
      <x:c r="D14">
        <x:v>0.15683800000000001</x:v>
      </x:c>
      <x:c r="E14">
        <x:v>12.5</x:v>
      </x:c>
      <x:c r="F14">
        <x:v>-12.5</x:v>
      </x:c>
      <x:c r="G14">
        <x:v>12.5</x:v>
      </x:c>
      <x:c r="H14">
        <x:v>-12.5</x:v>
      </x:c>
      <x:c r="I14">
        <x:v>12.5</x:v>
      </x:c>
      <x:c r="J14">
        <x:v>1</x:v>
      </x:c>
      <x:c r="K14">
        <x:v>1</x:v>
      </x:c>
    </x:row>
    <x:row r="15">
      <x:c r="A15">
        <x:v>13</x:v>
      </x:c>
      <x:c r="B15">
        <x:v>14</x:v>
      </x:c>
      <x:c r="C15">
        <x:v>0.13002</x:v>
      </x:c>
      <x:c r="D15">
        <x:v>0.11572</x:v>
      </x:c>
      <x:c r="E15">
        <x:v>12.5</x:v>
      </x:c>
      <x:c r="F15">
        <x:v>-12.5</x:v>
      </x:c>
      <x:c r="G15">
        <x:v>12.5</x:v>
      </x:c>
      <x:c r="H15">
        <x:v>-12.5</x:v>
      </x:c>
      <x:c r="I15">
        <x:v>12.5</x:v>
      </x:c>
      <x:c r="J15">
        <x:v>1</x:v>
      </x:c>
      <x:c r="K15">
        <x:v>1</x:v>
      </x:c>
    </x:row>
    <x:row r="16">
      <x:c r="A16">
        <x:v>14</x:v>
      </x:c>
      <x:c r="B16">
        <x:v>15</x:v>
      </x:c>
      <x:c r="C16">
        <x:v>0.164186</x:v>
      </x:c>
      <x:c r="D16">
        <x:v>0.11990000000000001</x:v>
      </x:c>
      <x:c r="E16">
        <x:v>12.5</x:v>
      </x:c>
      <x:c r="F16">
        <x:v>-12.5</x:v>
      </x:c>
      <x:c r="G16">
        <x:v>12.5</x:v>
      </x:c>
      <x:c r="H16">
        <x:v>-12.5</x:v>
      </x:c>
      <x:c r="I16">
        <x:v>12.5</x:v>
      </x:c>
      <x:c r="J16">
        <x:v>1</x:v>
      </x:c>
      <x:c r="K16">
        <x:v>1</x:v>
      </x:c>
    </x:row>
    <x:row r="17">
      <x:c r="A17">
        <x:v>15</x:v>
      </x:c>
      <x:c r="B17">
        <x:v>16</x:v>
      </x:c>
      <x:c r="C17">
        <x:v>0.28358</x:v>
      </x:c>
      <x:c r="D17">
        <x:v>0.37862000000000001</x:v>
      </x:c>
      <x:c r="E17">
        <x:v>12.5</x:v>
      </x:c>
      <x:c r="F17">
        <x:v>-12.5</x:v>
      </x:c>
      <x:c r="G17">
        <x:v>12.5</x:v>
      </x:c>
      <x:c r="H17">
        <x:v>-12.5</x:v>
      </x:c>
      <x:c r="I17">
        <x:v>12.5</x:v>
      </x:c>
      <x:c r="J17">
        <x:v>1</x:v>
      </x:c>
      <x:c r="K17">
        <x:v>1</x:v>
      </x:c>
    </x:row>
    <x:row r="18">
      <x:c r="A18">
        <x:v>16</x:v>
      </x:c>
      <x:c r="B18">
        <x:v>17</x:v>
      </x:c>
      <x:c r="C18">
        <x:v>0.16103999999999999</x:v>
      </x:c>
      <x:c r="D18">
        <x:v>0.12628</x:v>
      </x:c>
      <x:c r="E18">
        <x:v>12.5</x:v>
      </x:c>
      <x:c r="F18">
        <x:v>-12.5</x:v>
      </x:c>
      <x:c r="G18">
        <x:v>12.5</x:v>
      </x:c>
      <x:c r="H18">
        <x:v>-12.5</x:v>
      </x:c>
      <x:c r="I18">
        <x:v>12.5</x:v>
      </x:c>
      <x:c r="J18">
        <x:v>1</x:v>
      </x:c>
      <x:c r="K18">
        <x:v>1</x:v>
      </x:c>
    </x:row>
    <x:row r="19">
      <x:c r="A19">
        <x:v>1</x:v>
      </x:c>
      <x:c r="B19">
        <x:v>18</x:v>
      </x:c>
      <x:c r="C19">
        <x:v>3.6080000000000001E-2</x:v>
      </x:c>
      <x:c r="D19">
        <x:v>3.4430000000000002E-2</x:v>
      </x:c>
      <x:c r="E19">
        <x:v>16.5</x:v>
      </x:c>
      <x:c r="F19">
        <x:v>-16.5</x:v>
      </x:c>
      <x:c r="G19">
        <x:v>16.5</x:v>
      </x:c>
      <x:c r="H19">
        <x:v>-16.5</x:v>
      </x:c>
      <x:c r="I19">
        <x:v>16.5</x:v>
      </x:c>
      <x:c r="J19">
        <x:v>1</x:v>
      </x:c>
      <x:c r="K19">
        <x:v>1</x:v>
      </x:c>
    </x:row>
    <x:row r="20">
      <x:c r="A20">
        <x:v>18</x:v>
      </x:c>
      <x:c r="B20">
        <x:v>19</x:v>
      </x:c>
      <x:c r="C20">
        <x:v>0.330924</x:v>
      </x:c>
      <x:c r="D20">
        <x:v>0.29818800000000001</x:v>
      </x:c>
      <x:c r="E20">
        <x:v>12.5</x:v>
      </x:c>
      <x:c r="F20">
        <x:v>-12.5</x:v>
      </x:c>
      <x:c r="G20">
        <x:v>12.5</x:v>
      </x:c>
      <x:c r="H20">
        <x:v>-12.5</x:v>
      </x:c>
      <x:c r="I20">
        <x:v>12.5</x:v>
      </x:c>
      <x:c r="J20">
        <x:v>1</x:v>
      </x:c>
      <x:c r="K20">
        <x:v>1</x:v>
      </x:c>
    </x:row>
    <x:row r="21">
      <x:c r="A21">
        <x:v>19</x:v>
      </x:c>
      <x:c r="B21">
        <x:v>20</x:v>
      </x:c>
      <x:c r="C21">
        <x:v>9.0090000000000003E-2</x:v>
      </x:c>
      <x:c r="D21">
        <x:v>0.10524799999999999</x:v>
      </x:c>
      <x:c r="E21">
        <x:v>12.5</x:v>
      </x:c>
      <x:c r="F21">
        <x:v>-12.5</x:v>
      </x:c>
      <x:c r="G21">
        <x:v>12.5</x:v>
      </x:c>
      <x:c r="H21">
        <x:v>-12.5</x:v>
      </x:c>
      <x:c r="I21">
        <x:v>12.5</x:v>
      </x:c>
      <x:c r="J21">
        <x:v>1</x:v>
      </x:c>
      <x:c r="K21">
        <x:v>1</x:v>
      </x:c>
    </x:row>
    <x:row r="22">
      <x:c r="A22">
        <x:v>20</x:v>
      </x:c>
      <x:c r="B22">
        <x:v>21</x:v>
      </x:c>
      <x:c r="C22">
        <x:v>0.15595800000000001</x:v>
      </x:c>
      <x:c r="D22">
        <x:v>0.206206</x:v>
      </x:c>
      <x:c r="E22">
        <x:v>12.5</x:v>
      </x:c>
      <x:c r="F22">
        <x:v>-12.5</x:v>
      </x:c>
      <x:c r="G22">
        <x:v>12.5</x:v>
      </x:c>
      <x:c r="H22">
        <x:v>-12.5</x:v>
      </x:c>
      <x:c r="I22">
        <x:v>12.5</x:v>
      </x:c>
      <x:c r="J22">
        <x:v>1</x:v>
      </x:c>
      <x:c r="K22">
        <x:v>1</x:v>
      </x:c>
    </x:row>
    <x:row r="23">
      <x:c r="A23">
        <x:v>2</x:v>
      </x:c>
      <x:c r="B23">
        <x:v>22</x:v>
      </x:c>
      <x:c r="C23">
        <x:v>9.9264000000000005E-2</x:v>
      </x:c>
      <x:c r="D23">
        <x:v>6.7825999999999997E-2</x:v>
      </x:c>
      <x:c r="E23">
        <x:v>16.5</x:v>
      </x:c>
      <x:c r="F23">
        <x:v>-16.5</x:v>
      </x:c>
      <x:c r="G23">
        <x:v>16.5</x:v>
      </x:c>
      <x:c r="H23">
        <x:v>-16.5</x:v>
      </x:c>
      <x:c r="I23">
        <x:v>16.5</x:v>
      </x:c>
      <x:c r="J23">
        <x:v>1</x:v>
      </x:c>
      <x:c r="K23">
        <x:v>1</x:v>
      </x:c>
    </x:row>
    <x:row r="24">
      <x:c r="A24">
        <x:v>22</x:v>
      </x:c>
      <x:c r="B24">
        <x:v>23</x:v>
      </x:c>
      <x:c r="C24">
        <x:v>0.19756000000000001</x:v>
      </x:c>
      <x:c r="D24">
        <x:v>0.156002</x:v>
      </x:c>
      <x:c r="E24">
        <x:v>12.5</x:v>
      </x:c>
      <x:c r="F24">
        <x:v>-12.5</x:v>
      </x:c>
      <x:c r="G24">
        <x:v>12.5</x:v>
      </x:c>
      <x:c r="H24">
        <x:v>-12.5</x:v>
      </x:c>
      <x:c r="I24">
        <x:v>12.5</x:v>
      </x:c>
      <x:c r="J24">
        <x:v>1</x:v>
      </x:c>
      <x:c r="K24">
        <x:v>1</x:v>
      </x:c>
    </x:row>
    <x:row r="25">
      <x:c r="A25">
        <x:v>23</x:v>
      </x:c>
      <x:c r="B25">
        <x:v>24</x:v>
      </x:c>
      <x:c r="C25">
        <x:v>0.19711999999999999</x:v>
      </x:c>
      <x:c r="D25">
        <x:v>0.15424199999999999</x:v>
      </x:c>
      <x:c r="E25">
        <x:v>12.5</x:v>
      </x:c>
      <x:c r="F25">
        <x:v>-12.5</x:v>
      </x:c>
      <x:c r="G25">
        <x:v>12.5</x:v>
      </x:c>
      <x:c r="H25">
        <x:v>-12.5</x:v>
      </x:c>
      <x:c r="I25">
        <x:v>12.5</x:v>
      </x:c>
      <x:c r="J25">
        <x:v>1</x:v>
      </x:c>
      <x:c r="K25">
        <x:v>1</x:v>
      </x:c>
    </x:row>
    <x:row r="26">
      <x:c r="A26">
        <x:v>5</x:v>
      </x:c>
      <x:c r="B26">
        <x:v>25</x:v>
      </x:c>
      <x:c r="C26">
        <x:v>4.4659999999999998E-2</x:v>
      </x:c>
      <x:c r="D26">
        <x:v>2.2748000000000001E-2</x:v>
      </x:c>
      <x:c r="E26">
        <x:v>13.75</x:v>
      </x:c>
      <x:c r="F26">
        <x:v>-13.75</x:v>
      </x:c>
      <x:c r="G26">
        <x:v>13.75</x:v>
      </x:c>
      <x:c r="H26">
        <x:v>-13.75</x:v>
      </x:c>
      <x:c r="I26">
        <x:v>13.75</x:v>
      </x:c>
      <x:c r="J26">
        <x:v>1</x:v>
      </x:c>
      <x:c r="K26">
        <x:v>1</x:v>
      </x:c>
    </x:row>
    <x:row r="27">
      <x:c r="A27">
        <x:v>25</x:v>
      </x:c>
      <x:c r="B27">
        <x:v>26</x:v>
      </x:c>
      <x:c r="C27">
        <x:v>6.2523999999999996E-2</x:v>
      </x:c>
      <x:c r="D27">
        <x:v>3.1834000000000001E-2</x:v>
      </x:c>
      <x:c r="E27">
        <x:v>12.5</x:v>
      </x:c>
      <x:c r="F27">
        <x:v>-12.5</x:v>
      </x:c>
      <x:c r="G27">
        <x:v>12.5</x:v>
      </x:c>
      <x:c r="H27">
        <x:v>-12.5</x:v>
      </x:c>
      <x:c r="I27">
        <x:v>12.5</x:v>
      </x:c>
      <x:c r="J27">
        <x:v>1</x:v>
      </x:c>
      <x:c r="K27">
        <x:v>1</x:v>
      </x:c>
    </x:row>
    <x:row r="28">
      <x:c r="A28">
        <x:v>26</x:v>
      </x:c>
      <x:c r="B28">
        <x:v>27</x:v>
      </x:c>
      <x:c r="C28">
        <x:v>0.23297999999999999</x:v>
      </x:c>
      <x:c r="D28">
        <x:v>0.20541400000000001</x:v>
      </x:c>
      <x:c r="E28">
        <x:v>12.5</x:v>
      </x:c>
      <x:c r="F28">
        <x:v>-12.5</x:v>
      </x:c>
      <x:c r="G28">
        <x:v>12.5</x:v>
      </x:c>
      <x:c r="H28">
        <x:v>-12.5</x:v>
      </x:c>
      <x:c r="I28">
        <x:v>12.5</x:v>
      </x:c>
      <x:c r="J28">
        <x:v>1</x:v>
      </x:c>
      <x:c r="K28">
        <x:v>1</x:v>
      </x:c>
    </x:row>
    <x:row r="29">
      <x:c r="A29">
        <x:v>27</x:v>
      </x:c>
      <x:c r="B29">
        <x:v>28</x:v>
      </x:c>
      <x:c r="C29">
        <x:v>0.176924</x:v>
      </x:c>
      <x:c r="D29">
        <x:v>0.15413199999999999</x:v>
      </x:c>
      <x:c r="E29">
        <x:v>16.5</x:v>
      </x:c>
      <x:c r="F29">
        <x:v>-16.5</x:v>
      </x:c>
      <x:c r="G29">
        <x:v>16.5</x:v>
      </x:c>
      <x:c r="H29">
        <x:v>-16.5</x:v>
      </x:c>
      <x:c r="I29">
        <x:v>16.5</x:v>
      </x:c>
      <x:c r="J29">
        <x:v>0</x:v>
      </x:c>
      <x:c r="K29">
        <x:v>1</x:v>
      </x:c>
    </x:row>
    <x:row r="30">
      <x:c r="A30">
        <x:v>28</x:v>
      </x:c>
      <x:c r="B30">
        <x:v>29</x:v>
      </x:c>
      <x:c r="C30">
        <x:v>0.11165</x:v>
      </x:c>
      <x:c r="D30">
        <x:v>5.6869999999999997E-2</x:v>
      </x:c>
      <x:c r="E30">
        <x:v>12.5</x:v>
      </x:c>
      <x:c r="F30">
        <x:v>-12.5</x:v>
      </x:c>
      <x:c r="G30">
        <x:v>12.5</x:v>
      </x:c>
      <x:c r="H30">
        <x:v>-12.5</x:v>
      </x:c>
      <x:c r="I30">
        <x:v>12.5</x:v>
      </x:c>
      <x:c r="J30">
        <x:v>1</x:v>
      </x:c>
      <x:c r="K30">
        <x:v>1</x:v>
      </x:c>
    </x:row>
    <x:row r="31">
      <x:c r="A31">
        <x:v>29</x:v>
      </x:c>
      <x:c r="B31">
        <x:v>30</x:v>
      </x:c>
      <x:c r="C31">
        <x:v>0.214368</x:v>
      </x:c>
      <x:c r="D31">
        <x:v>0.21185999999999999</x:v>
      </x:c>
      <x:c r="E31">
        <x:v>12.5</x:v>
      </x:c>
      <x:c r="F31">
        <x:v>-12.5</x:v>
      </x:c>
      <x:c r="G31">
        <x:v>12.5</x:v>
      </x:c>
      <x:c r="H31">
        <x:v>-12.5</x:v>
      </x:c>
      <x:c r="I31">
        <x:v>12.5</x:v>
      </x:c>
      <x:c r="J31">
        <x:v>1</x:v>
      </x:c>
      <x:c r="K31">
        <x:v>1</x:v>
      </x:c>
    </x:row>
    <x:row r="32">
      <x:c r="A32">
        <x:v>30</x:v>
      </x:c>
      <x:c r="B32">
        <x:v>31</x:v>
      </x:c>
      <x:c r="C32">
        <x:v>6.8309999999999996E-2</x:v>
      </x:c>
      <x:c r="D32">
        <x:v>7.9617999999999994E-2</x:v>
      </x:c>
      <x:c r="E32">
        <x:v>12.5</x:v>
      </x:c>
      <x:c r="F32">
        <x:v>-12.5</x:v>
      </x:c>
      <x:c r="G32">
        <x:v>12.5</x:v>
      </x:c>
      <x:c r="H32">
        <x:v>-12.5</x:v>
      </x:c>
      <x:c r="I32">
        <x:v>12.5</x:v>
      </x:c>
      <x:c r="J32">
        <x:v>1</x:v>
      </x:c>
      <x:c r="K32">
        <x:v>1</x:v>
      </x:c>
    </x:row>
    <x:row r="33">
      <x:c r="A33">
        <x:v>31</x:v>
      </x:c>
      <x:c r="B33">
        <x:v>32</x:v>
      </x:c>
      <x:c r="C33">
        <x:v>7.5020000000000003E-2</x:v>
      </x:c>
      <x:c r="D33">
        <x:v>0.116644</x:v>
      </x:c>
      <x:c r="E33">
        <x:v>12.5</x:v>
      </x:c>
      <x:c r="F33">
        <x:v>-12.5</x:v>
      </x:c>
      <x:c r="G33">
        <x:v>12.5</x:v>
      </x:c>
      <x:c r="H33">
        <x:v>-12.5</x:v>
      </x:c>
      <x:c r="I33">
        <x:v>12.5</x:v>
      </x:c>
      <x:c r="J33">
        <x:v>1</x:v>
      </x:c>
      <x:c r="K33">
        <x:v>1</x:v>
      </x:c>
    </x:row>
    <x:row r="34">
      <x:c r="A34">
        <x:v>11</x:v>
      </x:c>
      <x:c r="B34">
        <x:v>32</x:v>
      </x:c>
      <x:c r="C34">
        <x:v>0.44</x:v>
      </x:c>
      <x:c r="D34">
        <x:v>0.44</x:v>
      </x:c>
      <x:c r="E34">
        <x:v>16.5</x:v>
      </x:c>
      <x:c r="F34">
        <x:v>-16.5</x:v>
      </x:c>
      <x:c r="G34">
        <x:v>16.5</x:v>
      </x:c>
      <x:c r="H34">
        <x:v>-16.5</x:v>
      </x:c>
      <x:c r="I34">
        <x:v>16.5</x:v>
      </x:c>
      <x:c r="J34">
        <x:v>0</x:v>
      </x:c>
      <x:c r="K34">
        <x:v>0</x:v>
      </x:c>
    </x:row>
    <x:row r="35">
      <x:c r="A35">
        <x:v>11</x:v>
      </x:c>
      <x:c r="B35">
        <x:v>21</x:v>
      </x:c>
      <x:c r="C35">
        <x:v>0.44</x:v>
      </x:c>
      <x:c r="D35">
        <x:v>0.44</x:v>
      </x:c>
      <x:c r="E35">
        <x:v>2</x:v>
      </x:c>
      <x:c r="F35">
        <x:v>-2</x:v>
      </x:c>
      <x:c r="G35">
        <x:v>2</x:v>
      </x:c>
      <x:c r="H35">
        <x:v>-2</x:v>
      </x:c>
      <x:c r="I35">
        <x:v>2</x:v>
      </x:c>
      <x:c r="J35">
        <x:v>-1</x:v>
      </x:c>
      <x:c r="K35">
        <x:v>1</x:v>
      </x:c>
    </x:row>
    <x:row r="36">
      <x:c r="A36">
        <x:v>17</x:v>
      </x:c>
      <x:c r="B36">
        <x:v>32</x:v>
      </x:c>
      <x:c r="C36">
        <x:v>0.11</x:v>
      </x:c>
      <x:c r="D36">
        <x:v>0.11</x:v>
      </x:c>
      <x:c r="E36">
        <x:v>2</x:v>
      </x:c>
      <x:c r="F36">
        <x:v>-2</x:v>
      </x:c>
      <x:c r="G36">
        <x:v>2</x:v>
      </x:c>
      <x:c r="H36">
        <x:v>-2</x:v>
      </x:c>
      <x:c r="I36">
        <x:v>2</x:v>
      </x:c>
      <x:c r="J36">
        <x:v>-1</x:v>
      </x:c>
      <x:c r="K36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.399999618530273"/>
  <x:sheetData>
    <x:row r="1">
      <x:c r="A1" s="1" t="s">
        <x:v>36</x:v>
      </x:c>
      <x:c r="B1" s="1" t="s">
        <x:v>37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</x:row>
    <x:row r="2">
      <x:c r="A2">
        <x:v>1</x:v>
      </x:c>
      <x:c r="B2">
        <x:v>23</x:v>
      </x:c>
      <x:c r="C2">
        <x:v>18</x:v>
      </x:c>
      <x:c r="D2">
        <x:v>18</x:v>
      </x:c>
      <x:c r="E2">
        <x:v>18</x:v>
      </x:c>
      <x:c r="F2">
        <x:v>18</x:v>
      </x:c>
      <x:c r="G2">
        <x:v>18</x:v>
      </x:c>
      <x:c r="H2">
        <x:v>18</x:v>
      </x:c>
      <x:c r="I2">
        <x:v>18</x:v>
      </x:c>
      <x:c r="J2">
        <x:v>18</x:v>
      </x:c>
      <x:c r="K2">
        <x:v>18</x:v>
      </x:c>
      <x:c r="L2">
        <x:v>18</x:v>
      </x:c>
      <x:c r="M2">
        <x:v>18</x:v>
      </x:c>
      <x:c r="N2">
        <x:v>18</x:v>
      </x:c>
      <x:c r="O2">
        <x:v>18</x:v>
      </x:c>
      <x:c r="P2">
        <x:v>18</x:v>
      </x:c>
      <x:c r="Q2">
        <x:v>18</x:v>
      </x:c>
      <x:c r="R2">
        <x:v>18</x:v>
      </x:c>
      <x:c r="S2">
        <x:v>18</x:v>
      </x:c>
      <x:c r="T2">
        <x:v>18</x:v>
      </x:c>
      <x:c r="U2">
        <x:v>18</x:v>
      </x:c>
      <x:c r="V2">
        <x:v>18</x:v>
      </x:c>
      <x:c r="W2">
        <x:v>18</x:v>
      </x:c>
      <x:c r="X2">
        <x:v>18</x:v>
      </x:c>
      <x:c r="Y2">
        <x:v>18</x:v>
      </x:c>
      <x:c r="Z2">
        <x:v>18</x:v>
      </x:c>
    </x:row>
    <x:row r="3">
      <x:c r="A3">
        <x:v>2</x:v>
      </x:c>
      <x:c r="B3">
        <x:v>32</x:v>
      </x:c>
      <x:c r="C3">
        <x:v>22</x:v>
      </x:c>
      <x:c r="D3">
        <x:v>22</x:v>
      </x:c>
      <x:c r="E3">
        <x:v>22</x:v>
      </x:c>
      <x:c r="F3">
        <x:v>22</x:v>
      </x:c>
      <x:c r="G3">
        <x:v>22</x:v>
      </x:c>
      <x:c r="H3">
        <x:v>22</x:v>
      </x:c>
      <x:c r="I3">
        <x:v>22</x:v>
      </x:c>
      <x:c r="J3">
        <x:v>22</x:v>
      </x:c>
      <x:c r="K3">
        <x:v>22</x:v>
      </x:c>
      <x:c r="L3">
        <x:v>22</x:v>
      </x:c>
      <x:c r="M3">
        <x:v>22</x:v>
      </x:c>
      <x:c r="N3">
        <x:v>22</x:v>
      </x:c>
      <x:c r="O3">
        <x:v>22</x:v>
      </x:c>
      <x:c r="P3">
        <x:v>22</x:v>
      </x:c>
      <x:c r="Q3">
        <x:v>22</x:v>
      </x:c>
      <x:c r="R3">
        <x:v>22</x:v>
      </x:c>
      <x:c r="S3">
        <x:v>22</x:v>
      </x:c>
      <x:c r="T3">
        <x:v>22</x:v>
      </x:c>
      <x:c r="U3">
        <x:v>22</x:v>
      </x:c>
      <x:c r="V3">
        <x:v>22</x:v>
      </x:c>
      <x:c r="W3">
        <x:v>22</x:v>
      </x:c>
      <x:c r="X3">
        <x:v>22</x:v>
      </x:c>
      <x:c r="Y3">
        <x:v>22</x:v>
      </x:c>
      <x:c r="Z3">
        <x:v>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.399999618530273"/>
  <x:sheetData>
    <x:row r="1">
      <x:c r="A1" s="1" t="s">
        <x:v>36</x:v>
      </x:c>
      <x:c r="B1" s="1" t="s">
        <x:v>37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</x:row>
    <x:row r="2">
      <x:c r="A2">
        <x:v>1</x:v>
      </x:c>
      <x:c r="B2">
        <x:v>23</x:v>
      </x:c>
      <x:c r="C2">
        <x:v>0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>
        <x:v>0</x:v>
      </x:c>
      <x:c r="J2">
        <x:v>0</x:v>
      </x:c>
      <x:c r="K2">
        <x:v>0</x:v>
      </x:c>
      <x:c r="L2">
        <x:v>0</x:v>
      </x:c>
      <x:c r="M2">
        <x:v>0</x:v>
      </x:c>
      <x:c r="N2">
        <x:v>0</x:v>
      </x:c>
      <x:c r="O2">
        <x:v>0</x:v>
      </x:c>
      <x:c r="P2">
        <x:v>0</x:v>
      </x:c>
      <x:c r="Q2">
        <x:v>0</x:v>
      </x:c>
      <x:c r="R2">
        <x:v>0</x:v>
      </x:c>
      <x:c r="S2">
        <x:v>0</x:v>
      </x:c>
      <x:c r="T2">
        <x:v>0</x:v>
      </x:c>
      <x:c r="U2">
        <x:v>0</x:v>
      </x:c>
      <x:c r="V2">
        <x:v>0</x:v>
      </x:c>
      <x:c r="W2">
        <x:v>0</x:v>
      </x:c>
      <x:c r="X2">
        <x:v>0</x:v>
      </x:c>
      <x:c r="Y2">
        <x:v>0</x:v>
      </x:c>
      <x:c r="Z2">
        <x:v>0</x:v>
      </x:c>
    </x:row>
    <x:row r="3">
      <x:c r="A3">
        <x:v>2</x:v>
      </x:c>
      <x:c r="B3">
        <x:v>32</x:v>
      </x:c>
      <x:c r="C3">
        <x:v>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  <x:c r="L3">
        <x:v>0</x:v>
      </x:c>
      <x:c r="M3">
        <x:v>0</x:v>
      </x:c>
      <x:c r="N3">
        <x:v>0</x:v>
      </x:c>
      <x:c r="O3">
        <x:v>0</x:v>
      </x:c>
      <x:c r="P3">
        <x:v>0</x:v>
      </x:c>
      <x:c r="Q3">
        <x:v>0</x:v>
      </x:c>
      <x:c r="R3">
        <x:v>0</x:v>
      </x:c>
      <x:c r="S3">
        <x:v>0</x:v>
      </x:c>
      <x:c r="T3">
        <x:v>0</x:v>
      </x:c>
      <x:c r="U3">
        <x:v>0</x:v>
      </x:c>
      <x:c r="V3">
        <x:v>0</x:v>
      </x:c>
      <x:c r="W3">
        <x:v>0</x:v>
      </x:c>
      <x:c r="X3">
        <x:v>0</x:v>
      </x:c>
      <x:c r="Y3">
        <x:v>0</x:v>
      </x:c>
      <x:c r="Z3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.399999618530273"/>
  <x:cols>
    <x:col min="2" max="2" width="14.44140625" customWidth="1"/>
    <x:col min="3" max="3" width="19.109375" customWidth="1"/>
  </x:cols>
  <x:sheetData>
    <x:row r="1">
      <x:c r="A1" s="1" t="s">
        <x:v>36</x:v>
      </x:c>
      <x:c r="B1" s="1" t="s">
        <x:v>37</x:v>
      </x:c>
      <x:c r="C1" s="1" t="str">
        <x:v>S_dgMax(MVA)</x:v>
      </x:c>
    </x:row>
    <x:row r="2">
      <x:c r="A2">
        <x:v>1</x:v>
      </x:c>
      <x:c r="B2">
        <x:v>23</x:v>
      </x:c>
      <x:c r="C2">
        <x:v>22</x:v>
      </x:c>
    </x:row>
    <x:row r="3">
      <x:c r="A3">
        <x:v>2</x:v>
      </x:c>
      <x:c r="B3">
        <x:v>32</x:v>
      </x:c>
      <x:c r="C3">
        <x:v>27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4.399999618530273"/>
  <x:cols>
    <x:col min="3" max="3" width="23" hidden="0" customWidth="1"/>
    <x:col min="4" max="4" width="14" hidden="0" customWidth="1"/>
    <x:col min="5" max="5" width="23" hidden="0" customWidth="1"/>
    <x:col min="6" max="6" width="23" hidden="0" customWidth="1"/>
  </x:cols>
  <x:sheetData>
    <x:row r="1">
      <x:c r="A1" s="1" t="s">
        <x:v>38</x:v>
      </x:c>
      <x:c r="B1" s="1" t="s">
        <x:v>0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</x:row>
    <x:row r="2">
      <x:c r="A2">
        <x:v>1</x:v>
      </x:c>
      <x:c r="B2">
        <x:v>17</x:v>
      </x:c>
      <x:c r="C2">
        <x:v>9</x:v>
      </x:c>
      <x:c r="D2">
        <x:v>0.02</x:v>
      </x:c>
      <x:c r="E2">
        <x:v>3.6</x:v>
      </x:c>
      <x:c r="F2">
        <x:v>-3.6</x:v>
      </x:c>
    </x:row>
    <x:row r="3">
      <x:c r="A3">
        <x:v>1</x:v>
      </x:c>
      <x:c r="B3">
        <x:v>32</x:v>
      </x:c>
      <x:c r="C3">
        <x:v>9</x:v>
      </x:c>
      <x:c r="D3">
        <x:v>0.02</x:v>
      </x:c>
      <x:c r="E3">
        <x:v>3.6</x:v>
      </x:c>
      <x:c r="F3">
        <x:v>-3.6</x:v>
      </x:c>
    </x:row>
    <x:row r="4">
      <x:c r="A4">
        <x:v>2</x:v>
      </x:c>
      <x:c r="B4">
        <x:v>11</x:v>
      </x:c>
      <x:c r="C4">
        <x:v>10</x:v>
      </x:c>
      <x:c r="D4">
        <x:v>0.02</x:v>
      </x:c>
      <x:c r="E4">
        <x:v>4</x:v>
      </x:c>
      <x:c r="F4">
        <x:v>-4</x:v>
      </x:c>
    </x:row>
    <x:row r="5">
      <x:c r="A5">
        <x:v>2</x:v>
      </x:c>
      <x:c r="B5">
        <x:v>21</x:v>
      </x:c>
      <x:c r="C5">
        <x:v>10</x:v>
      </x:c>
      <x:c r="D5">
        <x:v>0.02</x:v>
      </x:c>
      <x:c r="E5">
        <x:v>4</x:v>
      </x:c>
      <x:c r="F5">
        <x:v>-4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4.399999618530273"/>
  <x:sheetData>
    <x:row r="1">
      <x:c r="A1" s="1" t="s">
        <x:v>36</x:v>
      </x:c>
      <x:c r="B1" s="1" t="s">
        <x:v>37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</x:row>
    <x:row r="2">
      <x:c r="A2">
        <x:v>1</x:v>
      </x:c>
      <x:c r="B2">
        <x:v>20</x:v>
      </x:c>
      <x:c r="C2">
        <x:v>4.53125</x:v>
      </x:c>
      <x:c r="D2">
        <x:v>4.6875</x:v>
      </x:c>
      <x:c r="E2">
        <x:v>4.84375</x:v>
      </x:c>
      <x:c r="F2">
        <x:v>5</x:v>
      </x:c>
      <x:c r="G2">
        <x:v>4.84375</x:v>
      </x:c>
      <x:c r="H2">
        <x:v>4.6875</x:v>
      </x:c>
      <x:c r="I2">
        <x:v>4.375</x:v>
      </x:c>
      <x:c r="J2">
        <x:v>4.0625</x:v>
      </x:c>
      <x:c r="K2">
        <x:v>3.75</x:v>
      </x:c>
      <x:c r="L2">
        <x:v>3.4375</x:v>
      </x:c>
      <x:c r="M2">
        <x:v>3.28125</x:v>
      </x:c>
      <x:c r="N2">
        <x:v>3.125</x:v>
      </x:c>
      <x:c r="O2">
        <x:v>3.125</x:v>
      </x:c>
      <x:c r="P2">
        <x:v>3.28125</x:v>
      </x:c>
      <x:c r="Q2">
        <x:v>3.4375</x:v>
      </x:c>
      <x:c r="R2">
        <x:v>3.59375</x:v>
      </x:c>
      <x:c r="S2">
        <x:v>3.75</x:v>
      </x:c>
      <x:c r="T2">
        <x:v>3.90625</x:v>
      </x:c>
      <x:c r="U2">
        <x:v>4.0625</x:v>
      </x:c>
      <x:c r="V2">
        <x:v>4.21875</x:v>
      </x:c>
      <x:c r="W2">
        <x:v>4.375</x:v>
      </x:c>
      <x:c r="X2">
        <x:v>4.53125</x:v>
      </x:c>
      <x:c r="Y2">
        <x:v>4.6875</x:v>
      </x:c>
      <x:c r="Z2">
        <x:v>4.6875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" defaultRowHeight="14.399999618530273"/>
  <x:sheetData>
    <x:row r="1">
      <x:c r="A1" s="1" t="s">
        <x:v>36</x:v>
      </x:c>
      <x:c r="B1" s="1" t="s">
        <x:v>37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</x:row>
    <x:row r="2">
      <x:c r="A2">
        <x:v>1</x:v>
      </x:c>
      <x:c r="B2">
        <x:v>15</x:v>
      </x:c>
      <x:c r="C2">
        <x:v>0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>
        <x:v>0.2</x:v>
      </x:c>
      <x:c r="J2">
        <x:v>0.72</x:v>
      </x:c>
      <x:c r="K2">
        <x:v>1.68</x:v>
      </x:c>
      <x:c r="L2">
        <x:v>2.72</x:v>
      </x:c>
      <x:c r="M2">
        <x:v>3.44</x:v>
      </x:c>
      <x:c r="N2">
        <x:v>3.88</x:v>
      </x:c>
      <x:c r="O2">
        <x:v>4</x:v>
      </x:c>
      <x:c r="P2">
        <x:v>3.8</x:v>
      </x:c>
      <x:c r="Q2">
        <x:v>3.28</x:v>
      </x:c>
      <x:c r="R2">
        <x:v>2.3199999999999998</x:v>
      </x:c>
      <x:c r="S2">
        <x:v>1.2</x:v>
      </x:c>
      <x:c r="T2">
        <x:v>0.4</x:v>
      </x:c>
      <x:c r="U2">
        <x:v>0.08</x:v>
      </x:c>
      <x:c r="V2">
        <x:v>0</x:v>
      </x:c>
      <x:c r="W2">
        <x:v>0</x:v>
      </x:c>
      <x:c r="X2">
        <x:v>0</x:v>
      </x:c>
      <x:c r="Y2">
        <x:v>0</x:v>
      </x:c>
      <x:c r="Z2">
        <x:v>0</x:v>
      </x:c>
    </x:row>
    <x:row r="3">
      <x:c r="A3">
        <x:v>2</x:v>
      </x:c>
      <x:c r="B3">
        <x:v>17</x:v>
      </x:c>
      <x:c r="C3">
        <x:v>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  <x:c r="I3">
        <x:v>0.2</x:v>
      </x:c>
      <x:c r="J3">
        <x:v>0.72</x:v>
      </x:c>
      <x:c r="K3">
        <x:v>1.68</x:v>
      </x:c>
      <x:c r="L3">
        <x:v>2.72</x:v>
      </x:c>
      <x:c r="M3">
        <x:v>3.44</x:v>
      </x:c>
      <x:c r="N3">
        <x:v>3.88</x:v>
      </x:c>
      <x:c r="O3">
        <x:v>4</x:v>
      </x:c>
      <x:c r="P3">
        <x:v>3.8</x:v>
      </x:c>
      <x:c r="Q3">
        <x:v>3.28</x:v>
      </x:c>
      <x:c r="R3">
        <x:v>2.3199999999999998</x:v>
      </x:c>
      <x:c r="S3">
        <x:v>1.2</x:v>
      </x:c>
      <x:c r="T3">
        <x:v>0.4</x:v>
      </x:c>
      <x:c r="U3">
        <x:v>0.08</x:v>
      </x:c>
      <x:c r="V3">
        <x:v>0</x:v>
      </x:c>
      <x:c r="W3">
        <x:v>0</x:v>
      </x:c>
      <x:c r="X3">
        <x:v>0</x:v>
      </x:c>
      <x:c r="Y3">
        <x:v>0</x:v>
      </x:c>
      <x:c r="Z3">
        <x:v>0</x:v>
      </x:c>
    </x:row>
    <x:row r="4">
      <x:c r="A4">
        <x:v>3</x:v>
      </x:c>
      <x:c r="B4">
        <x:v>25</x:v>
      </x:c>
      <x:c r="C4">
        <x:v>0</x:v>
      </x:c>
      <x:c r="D4">
        <x:v>0</x:v>
      </x:c>
      <x:c r="E4">
        <x:v>0</x:v>
      </x:c>
      <x:c r="F4">
        <x:v>0</x:v>
      </x:c>
      <x:c r="G4">
        <x:v>0</x:v>
      </x:c>
      <x:c r="H4">
        <x:v>0</x:v>
      </x:c>
      <x:c r="I4">
        <x:v>0.17499999999999999</x:v>
      </x:c>
      <x:c r="J4">
        <x:v>0.63</x:v>
      </x:c>
      <x:c r="K4">
        <x:v>1.47</x:v>
      </x:c>
      <x:c r="L4">
        <x:v>2.38</x:v>
      </x:c>
      <x:c r="M4">
        <x:v>3.01</x:v>
      </x:c>
      <x:c r="N4">
        <x:v>3.395</x:v>
      </x:c>
      <x:c r="O4">
        <x:v>3.5</x:v>
      </x:c>
      <x:c r="P4">
        <x:v>3.3250000000000002</x:v>
      </x:c>
      <x:c r="Q4">
        <x:v>2.87</x:v>
      </x:c>
      <x:c r="R4">
        <x:v>2.0299999999999998</x:v>
      </x:c>
      <x:c r="S4">
        <x:v>1.05</x:v>
      </x:c>
      <x:c r="T4">
        <x:v>0.35</x:v>
      </x:c>
      <x:c r="U4">
        <x:v>7.0000000000000007E-2</x:v>
      </x:c>
      <x:c r="V4">
        <x:v>0</x:v>
      </x:c>
      <x:c r="W4">
        <x:v>0</x:v>
      </x:c>
      <x:c r="X4">
        <x:v>0</x:v>
      </x:c>
      <x:c r="Y4">
        <x:v>0</x:v>
      </x:c>
      <x:c r="Z4">
        <x:v>0</x:v>
      </x:c>
    </x:row>
    <x:row r="5">
      <x:c r="A5">
        <x:v>4</x:v>
      </x:c>
      <x:c r="B5">
        <x:v>29</x:v>
      </x:c>
      <x:c r="C5">
        <x:v>0</x:v>
      </x:c>
      <x:c r="D5">
        <x:v>0</x:v>
      </x:c>
      <x:c r="E5">
        <x:v>0</x:v>
      </x:c>
      <x:c r="F5">
        <x:v>0</x:v>
      </x:c>
      <x:c r="G5">
        <x:v>0</x:v>
      </x:c>
      <x:c r="H5">
        <x:v>0</x:v>
      </x:c>
      <x:c r="I5">
        <x:v>0.22500000000000001</x:v>
      </x:c>
      <x:c r="J5">
        <x:v>0.81</x:v>
      </x:c>
      <x:c r="K5">
        <x:v>1.89</x:v>
      </x:c>
      <x:c r="L5">
        <x:v>3.06</x:v>
      </x:c>
      <x:c r="M5">
        <x:v>3.87</x:v>
      </x:c>
      <x:c r="N5">
        <x:v>4.3650000000000002</x:v>
      </x:c>
      <x:c r="O5">
        <x:v>4.5</x:v>
      </x:c>
      <x:c r="P5">
        <x:v>4.2750000000000004</x:v>
      </x:c>
      <x:c r="Q5">
        <x:v>3.69</x:v>
      </x:c>
      <x:c r="R5">
        <x:v>2.61</x:v>
      </x:c>
      <x:c r="S5">
        <x:v>1.35</x:v>
      </x:c>
      <x:c r="T5">
        <x:v>0.45</x:v>
      </x:c>
      <x:c r="U5">
        <x:v>0.09</x:v>
      </x:c>
      <x:c r="V5">
        <x:v>0</x:v>
      </x:c>
      <x:c r="W5">
        <x:v>0</x:v>
      </x:c>
      <x:c r="X5">
        <x:v>0</x:v>
      </x:c>
      <x:c r="Y5">
        <x:v>0</x:v>
      </x:c>
      <x:c r="Z5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6.8799991607666" hidden="0" customWidth="1"/>
    <x:col min="3" max="3" width="11.25" hidden="0" customWidth="1"/>
    <x:col min="4" max="4" width="26.25" hidden="0" customWidth="1"/>
    <x:col min="5" max="5" width="31.25" hidden="0" customWidth="1"/>
    <x:col min="6" max="6" width="26.25" hidden="0" customWidth="1"/>
    <x:col min="7" max="7" width="26.25" hidden="0" customWidth="1"/>
    <x:col min="8" max="8" width="16.25" hidden="0" customWidth="1"/>
    <x:col min="9" max="9" width="22.5" hidden="0" customWidth="1"/>
    <x:col min="10" max="10" width="22.5" hidden="0" customWidth="1"/>
    <x:col min="11" max="11" width="22.5" hidden="0" customWidth="1"/>
    <x:col min="12" max="12" width="22.5" hidden="0" customWidth="1"/>
    <x:col min="13" max="13" width="22.5" hidden="0" customWidth="1"/>
    <x:col min="14" max="14" width="18.1299991607666" hidden="0" customWidth="1"/>
    <x:col min="15" max="15" width="18.1299991607666" hidden="0" customWidth="1"/>
    <x:col min="16" max="16" width="18.1299991607666" hidden="0" customWidth="1"/>
    <x:col min="17" max="17" width="18.1299991607666" hidden="0" customWidth="1"/>
  </x:cols>
  <x:sheetData>
    <x:row r="1" ht="42" customHeight="1">
      <x:c r="A1" s="61" t="str">
        <x:v>node</x:v>
      </x:c>
      <x:c r="B1" s="61" t="str">
        <x:v>fairness_weight</x:v>
      </x:c>
      <x:c r="C1" s="61" t="str">
        <x:v>region</x:v>
      </x:c>
      <x:c r="D1" s="61" t="str">
        <x:v>load_type</x:v>
      </x:c>
      <x:c r="E1" s="61" t="str">
        <x:v>max_direct_reduction_ratio</x:v>
      </x:c>
      <x:c r="F1" s="61" t="str">
        <x:v>post_shift_ratio_range</x:v>
      </x:c>
      <x:c r="G1" s="61" t="str">
        <x:v>curtailment_cost_weight</x:v>
      </x:c>
      <x:c r="H1" s="61" t="str">
        <x:v>fairness_group</x:v>
      </x:c>
      <x:c r="I1" s="61" t="str">
        <x:v>load_priority_factor</x:v>
      </x:c>
      <x:c r="J1" s="61" t="str">
        <x:v>shift_min_override</x:v>
      </x:c>
      <x:c r="K1" s="61" t="str">
        <x:v>shift_max_override</x:v>
      </x:c>
      <x:c r="L1" s="61" t="str">
        <x:v>effective_shift_min</x:v>
      </x:c>
      <x:c r="M1" s="61" t="str">
        <x:v>effective_shift_max</x:v>
      </x:c>
      <x:c r="N1" s="61" t="str">
        <x:v>Load components</x:v>
      </x:c>
      <x:c r="O1" s="61" t="str">
        <x:v>L1 demand share</x:v>
      </x:c>
      <x:c r="P1" s="61" t="str">
        <x:v>L2 demand share</x:v>
      </x:c>
      <x:c r="Q1" s="61" t="str">
        <x:v>L3 demand share</x:v>
      </x:c>
    </x:row>
    <x:row r="2" ht="42" customHeight="1">
      <x:c r="A2" s="59" t="n">
        <x:v>0</x:v>
      </x:c>
      <x:c r="B2" s="62" t="n">
        <x:f>G2/SUMIFS($G$2:$G$34,$H$2:$H$34,H2)</x:f>
        <x:v>0.03379520108144644</x:v>
      </x:c>
      <x:c r="C2" s="59" t="str">
        <x:v>DN</x:v>
      </x:c>
      <x:c r="D2" s="59" t="str">
        <x:v>sheddable</x:v>
      </x:c>
      <x:c r="E2" s="59" t="n">
        <x:f>IF(D2="shiftable","",VLOOKUP(D2,load_parameters!$A$8:$F$10,3,FALSE))</x:f>
        <x:v>1</x:v>
      </x:c>
      <x:c r="F2" s="59" t="str">
        <x:f>IF(D2="shiftable","["&amp;TEXT(L2,"0.00")&amp;", "&amp;TEXT(M2,"0.00")&amp;"]","")</x:f>
      </x:c>
      <x:c r="G2" s="63" t="n">
        <x:v>1</x:v>
      </x:c>
      <x:c r="H2" s="59" t="str">
        <x:f>IF(D2="shiftable","shift","shed")</x:f>
        <x:v>shed</x:v>
      </x:c>
      <x:c r="I2" s="64" t="n">
        <x:f>VLOOKUP(D2,load_parameters!$A$8:$F$10,2,FALSE)</x:f>
        <x:v>1</x:v>
      </x:c>
      <x:c r="J2" s="64"/>
      <x:c r="K2" s="64"/>
      <x:c r="L2" s="64" t="str">
        <x:f>IF(D2="shiftable",IF(J2="",VLOOKUP(D2,load_parameters!$A$8:$F$10,4,FALSE),J2),"")</x:f>
      </x:c>
      <x:c r="M2" s="64" t="str">
        <x:f>IF(D2="shiftable",IF(K2="",VLOOKUP(D2,load_parameters!$A$8:$F$10,5,FALSE),K2),"")</x:f>
      </x:c>
      <x:c r="N2" s="59" t="str">
        <x:f>VLOOKUP(D2,load_parameters!$A$8:$J$10,7,FALSE)</x:f>
        <x:v>L2</x:v>
      </x:c>
      <x:c r="O2" s="65" t="n">
        <x:f>IF(D2="shiftable",0,1-E2)</x:f>
        <x:v>0</x:v>
      </x:c>
      <x:c r="P2" s="65" t="n">
        <x:f>IF(D2="shiftable",0,E2)</x:f>
        <x:v>1</x:v>
      </x:c>
      <x:c r="Q2" s="65" t="n">
        <x:f>IF(D2="shiftable",1,0)</x:f>
        <x:v>0</x:v>
      </x:c>
    </x:row>
    <x:row r="3" ht="42" customHeight="1">
      <x:c r="A3" s="59" t="n">
        <x:v>1</x:v>
      </x:c>
      <x:c r="B3" s="62" t="n">
        <x:f>G3/SUMIFS($G$2:$G$34,$H$2:$H$34,H3)</x:f>
        <x:v>0.03379520108144644</x:v>
      </x:c>
      <x:c r="C3" s="59" t="str">
        <x:v>DN</x:v>
      </x:c>
      <x:c r="D3" s="59" t="str">
        <x:v>sheddable</x:v>
      </x:c>
      <x:c r="E3" s="59" t="n">
        <x:f>IF(D3="shiftable","",VLOOKUP(D3,load_parameters!$A$8:$F$10,3,FALSE))</x:f>
        <x:v>1</x:v>
      </x:c>
      <x:c r="F3" s="59" t="str">
        <x:f>IF(D3="shiftable","["&amp;TEXT(L3,"0.00")&amp;", "&amp;TEXT(M3,"0.00")&amp;"]","")</x:f>
      </x:c>
      <x:c r="G3" s="63" t="n">
        <x:v>1</x:v>
      </x:c>
      <x:c r="H3" s="59" t="str">
        <x:f>IF(D3="shiftable","shift","shed")</x:f>
        <x:v>shed</x:v>
      </x:c>
      <x:c r="I3" s="64" t="n">
        <x:f>VLOOKUP(D3,load_parameters!$A$8:$F$10,2,FALSE)</x:f>
        <x:v>1</x:v>
      </x:c>
      <x:c r="J3" s="64"/>
      <x:c r="K3" s="64"/>
      <x:c r="L3" s="64" t="str">
        <x:f>IF(D3="shiftable",IF(J3="",VLOOKUP(D3,load_parameters!$A$8:$F$10,4,FALSE),J3),"")</x:f>
      </x:c>
      <x:c r="M3" s="64" t="str">
        <x:f>IF(D3="shiftable",IF(K3="",VLOOKUP(D3,load_parameters!$A$8:$F$10,5,FALSE),K3),"")</x:f>
      </x:c>
      <x:c r="N3" s="59" t="str">
        <x:f>VLOOKUP(D3,load_parameters!$A$8:$J$10,7,FALSE)</x:f>
        <x:v>L2</x:v>
      </x:c>
      <x:c r="O3" s="65" t="n">
        <x:f>IF(D3="shiftable",0,1-E3)</x:f>
        <x:v>0</x:v>
      </x:c>
      <x:c r="P3" s="65" t="n">
        <x:f>IF(D3="shiftable",0,E3)</x:f>
        <x:v>1</x:v>
      </x:c>
      <x:c r="Q3" s="65" t="n">
        <x:f>IF(D3="shiftable",1,0)</x:f>
        <x:v>0</x:v>
      </x:c>
    </x:row>
    <x:row r="4" ht="42" customHeight="1">
      <x:c r="A4" s="59" t="n">
        <x:v>2</x:v>
      </x:c>
      <x:c r="B4" s="62" t="n">
        <x:f>G4/SUMIFS($G$2:$G$34,$H$2:$H$34,H4)</x:f>
        <x:v>0.045623521459952694</x:v>
      </x:c>
      <x:c r="C4" s="59" t="str">
        <x:v>DN</x:v>
      </x:c>
      <x:c r="D4" s="59" t="str">
        <x:v>sheddable + critical</x:v>
      </x:c>
      <x:c r="E4" s="59" t="n">
        <x:f>IF(D4="shiftable","",VLOOKUP(D4,load_parameters!$A$8:$F$10,3,FALSE))</x:f>
        <x:v>0.4</x:v>
      </x:c>
      <x:c r="F4" s="59" t="str">
        <x:f>IF(D4="shiftable","["&amp;TEXT(L4,"0.00")&amp;", "&amp;TEXT(M4,"0.00")&amp;"]","")</x:f>
      </x:c>
      <x:c r="G4" s="63" t="n">
        <x:v>1.35</x:v>
      </x:c>
      <x:c r="H4" s="59" t="str">
        <x:f>IF(D4="shiftable","shift","shed")</x:f>
        <x:v>shed</x:v>
      </x:c>
      <x:c r="I4" s="64" t="n">
        <x:f>VLOOKUP(D4,load_parameters!$A$8:$F$10,2,FALSE)</x:f>
        <x:v>1.35</x:v>
      </x:c>
      <x:c r="J4" s="64"/>
      <x:c r="K4" s="64"/>
      <x:c r="L4" s="64" t="str">
        <x:f>IF(D4="shiftable",IF(J4="",VLOOKUP(D4,load_parameters!$A$8:$F$10,4,FALSE),J4),"")</x:f>
      </x:c>
      <x:c r="M4" s="64" t="str">
        <x:f>IF(D4="shiftable",IF(K4="",VLOOKUP(D4,load_parameters!$A$8:$F$10,5,FALSE),K4),"")</x:f>
      </x:c>
      <x:c r="N4" s="59" t="str">
        <x:f>VLOOKUP(D4,load_parameters!$A$8:$J$10,7,FALSE)</x:f>
        <x:v>L1 + L2</x:v>
      </x:c>
      <x:c r="O4" s="65" t="n">
        <x:f>IF(D4="shiftable",0,1-E4)</x:f>
        <x:v>0.6</x:v>
      </x:c>
      <x:c r="P4" s="65" t="n">
        <x:f>IF(D4="shiftable",0,E4)</x:f>
        <x:v>0.4</x:v>
      </x:c>
      <x:c r="Q4" s="65" t="n">
        <x:f>IF(D4="shiftable",1,0)</x:f>
        <x:v>0</x:v>
      </x:c>
    </x:row>
    <x:row r="5" ht="42" customHeight="1">
      <x:c r="A5" s="59" t="n">
        <x:v>3</x:v>
      </x:c>
      <x:c r="B5" s="62" t="n">
        <x:f>G5/SUMIFS($G$2:$G$34,$H$2:$H$34,H5)</x:f>
        <x:v>0.03379520108144644</x:v>
      </x:c>
      <x:c r="C5" s="59" t="str">
        <x:v>DN</x:v>
      </x:c>
      <x:c r="D5" s="59" t="str">
        <x:v>sheddable</x:v>
      </x:c>
      <x:c r="E5" s="59" t="n">
        <x:f>IF(D5="shiftable","",VLOOKUP(D5,load_parameters!$A$8:$F$10,3,FALSE))</x:f>
        <x:v>1</x:v>
      </x:c>
      <x:c r="F5" s="59" t="str">
        <x:f>IF(D5="shiftable","["&amp;TEXT(L5,"0.00")&amp;", "&amp;TEXT(M5,"0.00")&amp;"]","")</x:f>
      </x:c>
      <x:c r="G5" s="63" t="n">
        <x:v>1</x:v>
      </x:c>
      <x:c r="H5" s="59" t="str">
        <x:f>IF(D5="shiftable","shift","shed")</x:f>
        <x:v>shed</x:v>
      </x:c>
      <x:c r="I5" s="64" t="n">
        <x:f>VLOOKUP(D5,load_parameters!$A$8:$F$10,2,FALSE)</x:f>
        <x:v>1</x:v>
      </x:c>
      <x:c r="J5" s="64"/>
      <x:c r="K5" s="64"/>
      <x:c r="L5" s="64" t="str">
        <x:f>IF(D5="shiftable",IF(J5="",VLOOKUP(D5,load_parameters!$A$8:$F$10,4,FALSE),J5),"")</x:f>
      </x:c>
      <x:c r="M5" s="64" t="str">
        <x:f>IF(D5="shiftable",IF(K5="",VLOOKUP(D5,load_parameters!$A$8:$F$10,5,FALSE),K5),"")</x:f>
      </x:c>
      <x:c r="N5" s="59" t="str">
        <x:f>VLOOKUP(D5,load_parameters!$A$8:$J$10,7,FALSE)</x:f>
        <x:v>L2</x:v>
      </x:c>
      <x:c r="O5" s="65" t="n">
        <x:f>IF(D5="shiftable",0,1-E5)</x:f>
        <x:v>0</x:v>
      </x:c>
      <x:c r="P5" s="65" t="n">
        <x:f>IF(D5="shiftable",0,E5)</x:f>
        <x:v>1</x:v>
      </x:c>
      <x:c r="Q5" s="65" t="n">
        <x:f>IF(D5="shiftable",1,0)</x:f>
        <x:v>0</x:v>
      </x:c>
    </x:row>
    <x:row r="6" ht="42" customHeight="1">
      <x:c r="A6" s="59" t="n">
        <x:v>4</x:v>
      </x:c>
      <x:c r="B6" s="62" t="n">
        <x:f>G6/SUMIFS($G$2:$G$34,$H$2:$H$34,H6)</x:f>
        <x:v>0.1402524544179523</x:v>
      </x:c>
      <x:c r="C6" s="59" t="str">
        <x:v>DN</x:v>
      </x:c>
      <x:c r="D6" s="59" t="str">
        <x:v>shiftable</x:v>
      </x:c>
      <x:c r="E6" s="59" t="str">
        <x:f>IF(D6="shiftable","",VLOOKUP(D6,load_parameters!$A$8:$F$10,3,FALSE))</x:f>
      </x:c>
      <x:c r="F6" s="59" t="str">
        <x:f>IF(D6="shiftable","["&amp;TEXT(L6,"0.00")&amp;", "&amp;TEXT(M6,"0.00")&amp;"]","")</x:f>
        <x:v>[0.20, 1.55]</x:v>
      </x:c>
      <x:c r="G6" s="63" t="n">
        <x:v>0.95</x:v>
      </x:c>
      <x:c r="H6" s="59" t="str">
        <x:f>IF(D6="shiftable","shift","shed")</x:f>
        <x:v>shift</x:v>
      </x:c>
      <x:c r="I6" s="64" t="n">
        <x:f>VLOOKUP(D6,load_parameters!$A$8:$F$10,2,FALSE)</x:f>
        <x:v>0.95</x:v>
      </x:c>
      <x:c r="J6" s="64"/>
      <x:c r="K6" s="64"/>
      <x:c r="L6" s="64" t="n">
        <x:f>IF(D6="shiftable",IF(J6="",VLOOKUP(D6,load_parameters!$A$8:$F$10,4,FALSE),J6),"")</x:f>
        <x:v>0.2</x:v>
      </x:c>
      <x:c r="M6" s="64" t="n">
        <x:f>IF(D6="shiftable",IF(K6="",VLOOKUP(D6,load_parameters!$A$8:$F$10,5,FALSE),K6),"")</x:f>
        <x:v>1.55</x:v>
      </x:c>
      <x:c r="N6" s="59" t="str">
        <x:f>VLOOKUP(D6,load_parameters!$A$8:$J$10,7,FALSE)</x:f>
        <x:v>L3</x:v>
      </x:c>
      <x:c r="O6" s="65" t="n">
        <x:f>IF(D6="shiftable",0,1-E6)</x:f>
        <x:v>0</x:v>
      </x:c>
      <x:c r="P6" s="65" t="n">
        <x:f>IF(D6="shiftable",0,E6)</x:f>
        <x:v>0</x:v>
      </x:c>
      <x:c r="Q6" s="65" t="n">
        <x:f>IF(D6="shiftable",1,0)</x:f>
        <x:v>1</x:v>
      </x:c>
    </x:row>
    <x:row r="7" ht="42" customHeight="1">
      <x:c r="A7" s="59" t="n">
        <x:v>5</x:v>
      </x:c>
      <x:c r="B7" s="62" t="n">
        <x:f>G7/SUMIFS($G$2:$G$34,$H$2:$H$34,H7)</x:f>
        <x:v>0.03379520108144644</x:v>
      </x:c>
      <x:c r="C7" s="59" t="str">
        <x:v>DN</x:v>
      </x:c>
      <x:c r="D7" s="59" t="str">
        <x:v>sheddable</x:v>
      </x:c>
      <x:c r="E7" s="59" t="n">
        <x:f>IF(D7="shiftable","",VLOOKUP(D7,load_parameters!$A$8:$F$10,3,FALSE))</x:f>
        <x:v>1</x:v>
      </x:c>
      <x:c r="F7" s="59" t="str">
        <x:f>IF(D7="shiftable","["&amp;TEXT(L7,"0.00")&amp;", "&amp;TEXT(M7,"0.00")&amp;"]","")</x:f>
      </x:c>
      <x:c r="G7" s="63" t="n">
        <x:v>1</x:v>
      </x:c>
      <x:c r="H7" s="59" t="str">
        <x:f>IF(D7="shiftable","shift","shed")</x:f>
        <x:v>shed</x:v>
      </x:c>
      <x:c r="I7" s="64" t="n">
        <x:f>VLOOKUP(D7,load_parameters!$A$8:$F$10,2,FALSE)</x:f>
        <x:v>1</x:v>
      </x:c>
      <x:c r="J7" s="64"/>
      <x:c r="K7" s="64"/>
      <x:c r="L7" s="64" t="str">
        <x:f>IF(D7="shiftable",IF(J7="",VLOOKUP(D7,load_parameters!$A$8:$F$10,4,FALSE),J7),"")</x:f>
      </x:c>
      <x:c r="M7" s="64" t="str">
        <x:f>IF(D7="shiftable",IF(K7="",VLOOKUP(D7,load_parameters!$A$8:$F$10,5,FALSE),K7),"")</x:f>
      </x:c>
      <x:c r="N7" s="59" t="str">
        <x:f>VLOOKUP(D7,load_parameters!$A$8:$J$10,7,FALSE)</x:f>
        <x:v>L2</x:v>
      </x:c>
      <x:c r="O7" s="65" t="n">
        <x:f>IF(D7="shiftable",0,1-E7)</x:f>
        <x:v>0</x:v>
      </x:c>
      <x:c r="P7" s="65" t="n">
        <x:f>IF(D7="shiftable",0,E7)</x:f>
        <x:v>1</x:v>
      </x:c>
      <x:c r="Q7" s="65" t="n">
        <x:f>IF(D7="shiftable",1,0)</x:f>
        <x:v>0</x:v>
      </x:c>
    </x:row>
    <x:row r="8" ht="42" customHeight="1">
      <x:c r="A8" s="59" t="n">
        <x:v>6</x:v>
      </x:c>
      <x:c r="B8" s="62" t="n">
        <x:f>G8/SUMIFS($G$2:$G$34,$H$2:$H$34,H8)</x:f>
        <x:v>0.03379520108144644</x:v>
      </x:c>
      <x:c r="C8" s="59" t="str">
        <x:v>DN</x:v>
      </x:c>
      <x:c r="D8" s="59" t="str">
        <x:v>sheddable</x:v>
      </x:c>
      <x:c r="E8" s="59" t="n">
        <x:f>IF(D8="shiftable","",VLOOKUP(D8,load_parameters!$A$8:$F$10,3,FALSE))</x:f>
        <x:v>1</x:v>
      </x:c>
      <x:c r="F8" s="59" t="str">
        <x:f>IF(D8="shiftable","["&amp;TEXT(L8,"0.00")&amp;", "&amp;TEXT(M8,"0.00")&amp;"]","")</x:f>
      </x:c>
      <x:c r="G8" s="63" t="n">
        <x:v>1</x:v>
      </x:c>
      <x:c r="H8" s="59" t="str">
        <x:f>IF(D8="shiftable","shift","shed")</x:f>
        <x:v>shed</x:v>
      </x:c>
      <x:c r="I8" s="64" t="n">
        <x:f>VLOOKUP(D8,load_parameters!$A$8:$F$10,2,FALSE)</x:f>
        <x:v>1</x:v>
      </x:c>
      <x:c r="J8" s="64"/>
      <x:c r="K8" s="64"/>
      <x:c r="L8" s="64" t="str">
        <x:f>IF(D8="shiftable",IF(J8="",VLOOKUP(D8,load_parameters!$A$8:$F$10,4,FALSE),J8),"")</x:f>
      </x:c>
      <x:c r="M8" s="64" t="str">
        <x:f>IF(D8="shiftable",IF(K8="",VLOOKUP(D8,load_parameters!$A$8:$F$10,5,FALSE),K8),"")</x:f>
      </x:c>
      <x:c r="N8" s="59" t="str">
        <x:f>VLOOKUP(D8,load_parameters!$A$8:$J$10,7,FALSE)</x:f>
        <x:v>L2</x:v>
      </x:c>
      <x:c r="O8" s="65" t="n">
        <x:f>IF(D8="shiftable",0,1-E8)</x:f>
        <x:v>0</x:v>
      </x:c>
      <x:c r="P8" s="65" t="n">
        <x:f>IF(D8="shiftable",0,E8)</x:f>
        <x:v>1</x:v>
      </x:c>
      <x:c r="Q8" s="65" t="n">
        <x:f>IF(D8="shiftable",1,0)</x:f>
        <x:v>0</x:v>
      </x:c>
    </x:row>
    <x:row r="9" ht="42" customHeight="1">
      <x:c r="A9" s="59" t="n">
        <x:v>7</x:v>
      </x:c>
      <x:c r="B9" s="62" t="n">
        <x:f>G9/SUMIFS($G$2:$G$34,$H$2:$H$34,H9)</x:f>
        <x:v>0.045623521459952694</x:v>
      </x:c>
      <x:c r="C9" s="59" t="str">
        <x:v>DN</x:v>
      </x:c>
      <x:c r="D9" s="59" t="str">
        <x:v>sheddable + critical</x:v>
      </x:c>
      <x:c r="E9" s="59" t="n">
        <x:f>IF(D9="shiftable","",VLOOKUP(D9,load_parameters!$A$8:$F$10,3,FALSE))</x:f>
        <x:v>0.4</x:v>
      </x:c>
      <x:c r="F9" s="59" t="str">
        <x:f>IF(D9="shiftable","["&amp;TEXT(L9,"0.00")&amp;", "&amp;TEXT(M9,"0.00")&amp;"]","")</x:f>
      </x:c>
      <x:c r="G9" s="63" t="n">
        <x:v>1.35</x:v>
      </x:c>
      <x:c r="H9" s="59" t="str">
        <x:f>IF(D9="shiftable","shift","shed")</x:f>
        <x:v>shed</x:v>
      </x:c>
      <x:c r="I9" s="64" t="n">
        <x:f>VLOOKUP(D9,load_parameters!$A$8:$F$10,2,FALSE)</x:f>
        <x:v>1.35</x:v>
      </x:c>
      <x:c r="J9" s="64"/>
      <x:c r="K9" s="64"/>
      <x:c r="L9" s="64" t="str">
        <x:f>IF(D9="shiftable",IF(J9="",VLOOKUP(D9,load_parameters!$A$8:$F$10,4,FALSE),J9),"")</x:f>
      </x:c>
      <x:c r="M9" s="64" t="str">
        <x:f>IF(D9="shiftable",IF(K9="",VLOOKUP(D9,load_parameters!$A$8:$F$10,5,FALSE),K9),"")</x:f>
      </x:c>
      <x:c r="N9" s="59" t="str">
        <x:f>VLOOKUP(D9,load_parameters!$A$8:$J$10,7,FALSE)</x:f>
        <x:v>L1 + L2</x:v>
      </x:c>
      <x:c r="O9" s="65" t="n">
        <x:f>IF(D9="shiftable",0,1-E9)</x:f>
        <x:v>0.6</x:v>
      </x:c>
      <x:c r="P9" s="65" t="n">
        <x:f>IF(D9="shiftable",0,E9)</x:f>
        <x:v>0.4</x:v>
      </x:c>
      <x:c r="Q9" s="65" t="n">
        <x:f>IF(D9="shiftable",1,0)</x:f>
        <x:v>0</x:v>
      </x:c>
    </x:row>
    <x:row r="10" ht="42" customHeight="1">
      <x:c r="A10" s="59" t="n">
        <x:v>8</x:v>
      </x:c>
      <x:c r="B10" s="62" t="n">
        <x:f>G10/SUMIFS($G$2:$G$34,$H$2:$H$34,H10)</x:f>
        <x:v>0.1402524544179523</x:v>
      </x:c>
      <x:c r="C10" s="59" t="str">
        <x:v>DN</x:v>
      </x:c>
      <x:c r="D10" s="59" t="str">
        <x:v>shiftable</x:v>
      </x:c>
      <x:c r="E10" s="59" t="str">
        <x:f>IF(D10="shiftable","",VLOOKUP(D10,load_parameters!$A$8:$F$10,3,FALSE))</x:f>
      </x:c>
      <x:c r="F10" s="59" t="str">
        <x:f>IF(D10="shiftable","["&amp;TEXT(L10,"0.00")&amp;", "&amp;TEXT(M10,"0.00")&amp;"]","")</x:f>
        <x:v>[0.20, 1.55]</x:v>
      </x:c>
      <x:c r="G10" s="63" t="n">
        <x:v>0.95</x:v>
      </x:c>
      <x:c r="H10" s="59" t="str">
        <x:f>IF(D10="shiftable","shift","shed")</x:f>
        <x:v>shift</x:v>
      </x:c>
      <x:c r="I10" s="64" t="n">
        <x:f>VLOOKUP(D10,load_parameters!$A$8:$F$10,2,FALSE)</x:f>
        <x:v>0.95</x:v>
      </x:c>
      <x:c r="J10" s="64"/>
      <x:c r="K10" s="64"/>
      <x:c r="L10" s="64" t="n">
        <x:f>IF(D10="shiftable",IF(J10="",VLOOKUP(D10,load_parameters!$A$8:$F$10,4,FALSE),J10),"")</x:f>
        <x:v>0.2</x:v>
      </x:c>
      <x:c r="M10" s="64" t="n">
        <x:f>IF(D10="shiftable",IF(K10="",VLOOKUP(D10,load_parameters!$A$8:$F$10,5,FALSE),K10),"")</x:f>
        <x:v>1.55</x:v>
      </x:c>
      <x:c r="N10" s="59" t="str">
        <x:f>VLOOKUP(D10,load_parameters!$A$8:$J$10,7,FALSE)</x:f>
        <x:v>L3</x:v>
      </x:c>
      <x:c r="O10" s="65" t="n">
        <x:f>IF(D10="shiftable",0,1-E10)</x:f>
        <x:v>0</x:v>
      </x:c>
      <x:c r="P10" s="65" t="n">
        <x:f>IF(D10="shiftable",0,E10)</x:f>
        <x:v>0</x:v>
      </x:c>
      <x:c r="Q10" s="65" t="n">
        <x:f>IF(D10="shiftable",1,0)</x:f>
        <x:v>1</x:v>
      </x:c>
    </x:row>
    <x:row r="11" ht="42" customHeight="1">
      <x:c r="A11" s="59" t="n">
        <x:v>9</x:v>
      </x:c>
      <x:c r="B11" s="62" t="n">
        <x:f>G11/SUMIFS($G$2:$G$34,$H$2:$H$34,H11)</x:f>
        <x:v>0.045623521459952694</x:v>
      </x:c>
      <x:c r="C11" s="59" t="str">
        <x:v>DN</x:v>
      </x:c>
      <x:c r="D11" s="59" t="str">
        <x:v>sheddable + critical</x:v>
      </x:c>
      <x:c r="E11" s="59" t="n">
        <x:f>IF(D11="shiftable","",VLOOKUP(D11,load_parameters!$A$8:$F$10,3,FALSE))</x:f>
        <x:v>0.4</x:v>
      </x:c>
      <x:c r="F11" s="59" t="str">
        <x:f>IF(D11="shiftable","["&amp;TEXT(L11,"0.00")&amp;", "&amp;TEXT(M11,"0.00")&amp;"]","")</x:f>
      </x:c>
      <x:c r="G11" s="63" t="n">
        <x:v>1.35</x:v>
      </x:c>
      <x:c r="H11" s="59" t="str">
        <x:f>IF(D11="shiftable","shift","shed")</x:f>
        <x:v>shed</x:v>
      </x:c>
      <x:c r="I11" s="64" t="n">
        <x:f>VLOOKUP(D11,load_parameters!$A$8:$F$10,2,FALSE)</x:f>
        <x:v>1.35</x:v>
      </x:c>
      <x:c r="J11" s="64"/>
      <x:c r="K11" s="64"/>
      <x:c r="L11" s="64" t="str">
        <x:f>IF(D11="shiftable",IF(J11="",VLOOKUP(D11,load_parameters!$A$8:$F$10,4,FALSE),J11),"")</x:f>
      </x:c>
      <x:c r="M11" s="64" t="str">
        <x:f>IF(D11="shiftable",IF(K11="",VLOOKUP(D11,load_parameters!$A$8:$F$10,5,FALSE),K11),"")</x:f>
      </x:c>
      <x:c r="N11" s="59" t="str">
        <x:f>VLOOKUP(D11,load_parameters!$A$8:$J$10,7,FALSE)</x:f>
        <x:v>L1 + L2</x:v>
      </x:c>
      <x:c r="O11" s="65" t="n">
        <x:f>IF(D11="shiftable",0,1-E11)</x:f>
        <x:v>0.6</x:v>
      </x:c>
      <x:c r="P11" s="65" t="n">
        <x:f>IF(D11="shiftable",0,E11)</x:f>
        <x:v>0.4</x:v>
      </x:c>
      <x:c r="Q11" s="65" t="n">
        <x:f>IF(D11="shiftable",1,0)</x:f>
        <x:v>0</x:v>
      </x:c>
    </x:row>
    <x:row r="12" ht="42" customHeight="1">
      <x:c r="A12" s="59" t="n">
        <x:v>10</x:v>
      </x:c>
      <x:c r="B12" s="62" t="n">
        <x:f>G12/SUMIFS($G$2:$G$34,$H$2:$H$34,H12)</x:f>
        <x:v>0.03379520108144644</x:v>
      </x:c>
      <x:c r="C12" s="59" t="str">
        <x:v>DN</x:v>
      </x:c>
      <x:c r="D12" s="59" t="str">
        <x:v>sheddable</x:v>
      </x:c>
      <x:c r="E12" s="59" t="n">
        <x:f>IF(D12="shiftable","",VLOOKUP(D12,load_parameters!$A$8:$F$10,3,FALSE))</x:f>
        <x:v>1</x:v>
      </x:c>
      <x:c r="F12" s="59" t="str">
        <x:f>IF(D12="shiftable","["&amp;TEXT(L12,"0.00")&amp;", "&amp;TEXT(M12,"0.00")&amp;"]","")</x:f>
      </x:c>
      <x:c r="G12" s="63" t="n">
        <x:v>1</x:v>
      </x:c>
      <x:c r="H12" s="59" t="str">
        <x:f>IF(D12="shiftable","shift","shed")</x:f>
        <x:v>shed</x:v>
      </x:c>
      <x:c r="I12" s="64" t="n">
        <x:f>VLOOKUP(D12,load_parameters!$A$8:$F$10,2,FALSE)</x:f>
        <x:v>1</x:v>
      </x:c>
      <x:c r="J12" s="64"/>
      <x:c r="K12" s="64"/>
      <x:c r="L12" s="64" t="str">
        <x:f>IF(D12="shiftable",IF(J12="",VLOOKUP(D12,load_parameters!$A$8:$F$10,4,FALSE),J12),"")</x:f>
      </x:c>
      <x:c r="M12" s="64" t="str">
        <x:f>IF(D12="shiftable",IF(K12="",VLOOKUP(D12,load_parameters!$A$8:$F$10,5,FALSE),K12),"")</x:f>
      </x:c>
      <x:c r="N12" s="59" t="str">
        <x:f>VLOOKUP(D12,load_parameters!$A$8:$J$10,7,FALSE)</x:f>
        <x:v>L2</x:v>
      </x:c>
      <x:c r="O12" s="65" t="n">
        <x:f>IF(D12="shiftable",0,1-E12)</x:f>
        <x:v>0</x:v>
      </x:c>
      <x:c r="P12" s="65" t="n">
        <x:f>IF(D12="shiftable",0,E12)</x:f>
        <x:v>1</x:v>
      </x:c>
      <x:c r="Q12" s="65" t="n">
        <x:f>IF(D12="shiftable",1,0)</x:f>
        <x:v>0</x:v>
      </x:c>
    </x:row>
    <x:row r="13" ht="42" customHeight="1">
      <x:c r="A13" s="59" t="n">
        <x:v>11</x:v>
      </x:c>
      <x:c r="B13" s="62" t="n">
        <x:f>G13/SUMIFS($G$2:$G$34,$H$2:$H$34,H13)</x:f>
        <x:v>0.045623521459952694</x:v>
      </x:c>
      <x:c r="C13" s="59" t="str">
        <x:v>DN</x:v>
      </x:c>
      <x:c r="D13" s="59" t="str">
        <x:v>sheddable + critical</x:v>
      </x:c>
      <x:c r="E13" s="59" t="n">
        <x:f>IF(D13="shiftable","",VLOOKUP(D13,load_parameters!$A$8:$F$10,3,FALSE))</x:f>
        <x:v>0.4</x:v>
      </x:c>
      <x:c r="F13" s="59" t="str">
        <x:f>IF(D13="shiftable","["&amp;TEXT(L13,"0.00")&amp;", "&amp;TEXT(M13,"0.00")&amp;"]","")</x:f>
      </x:c>
      <x:c r="G13" s="63" t="n">
        <x:v>1.35</x:v>
      </x:c>
      <x:c r="H13" s="59" t="str">
        <x:f>IF(D13="shiftable","shift","shed")</x:f>
        <x:v>shed</x:v>
      </x:c>
      <x:c r="I13" s="64" t="n">
        <x:f>VLOOKUP(D13,load_parameters!$A$8:$F$10,2,FALSE)</x:f>
        <x:v>1.35</x:v>
      </x:c>
      <x:c r="J13" s="64"/>
      <x:c r="K13" s="64"/>
      <x:c r="L13" s="64" t="str">
        <x:f>IF(D13="shiftable",IF(J13="",VLOOKUP(D13,load_parameters!$A$8:$F$10,4,FALSE),J13),"")</x:f>
      </x:c>
      <x:c r="M13" s="64" t="str">
        <x:f>IF(D13="shiftable",IF(K13="",VLOOKUP(D13,load_parameters!$A$8:$F$10,5,FALSE),K13),"")</x:f>
      </x:c>
      <x:c r="N13" s="59" t="str">
        <x:f>VLOOKUP(D13,load_parameters!$A$8:$J$10,7,FALSE)</x:f>
        <x:v>L1 + L2</x:v>
      </x:c>
      <x:c r="O13" s="65" t="n">
        <x:f>IF(D13="shiftable",0,1-E13)</x:f>
        <x:v>0.6</x:v>
      </x:c>
      <x:c r="P13" s="65" t="n">
        <x:f>IF(D13="shiftable",0,E13)</x:f>
        <x:v>0.4</x:v>
      </x:c>
      <x:c r="Q13" s="65" t="n">
        <x:f>IF(D13="shiftable",1,0)</x:f>
        <x:v>0</x:v>
      </x:c>
    </x:row>
    <x:row r="14" ht="42" customHeight="1">
      <x:c r="A14" s="59" t="n">
        <x:v>12</x:v>
      </x:c>
      <x:c r="B14" s="62" t="n">
        <x:f>G14/SUMIFS($G$2:$G$34,$H$2:$H$34,H14)</x:f>
        <x:v>0.15147265077138852</x:v>
      </x:c>
      <x:c r="C14" s="59" t="str">
        <x:v>MG1</x:v>
      </x:c>
      <x:c r="D14" s="59" t="str">
        <x:v>shiftable</x:v>
      </x:c>
      <x:c r="E14" s="59" t="str">
        <x:f>IF(D14="shiftable","",VLOOKUP(D14,load_parameters!$A$8:$F$10,3,FALSE))</x:f>
      </x:c>
      <x:c r="F14" s="59" t="str">
        <x:f>IF(D14="shiftable","["&amp;TEXT(L14,"0.00")&amp;", "&amp;TEXT(M14,"0.00")&amp;"]","")</x:f>
        <x:v>[0.20, 1.55]</x:v>
      </x:c>
      <x:c r="G14" s="63" t="n">
        <x:v>1.026</x:v>
      </x:c>
      <x:c r="H14" s="59" t="str">
        <x:f>IF(D14="shiftable","shift","shed")</x:f>
        <x:v>shift</x:v>
      </x:c>
      <x:c r="I14" s="64" t="n">
        <x:f>VLOOKUP(D14,load_parameters!$A$8:$F$10,2,FALSE)</x:f>
        <x:v>0.95</x:v>
      </x:c>
      <x:c r="J14" s="64"/>
      <x:c r="K14" s="64"/>
      <x:c r="L14" s="64" t="n">
        <x:f>IF(D14="shiftable",IF(J14="",VLOOKUP(D14,load_parameters!$A$8:$F$10,4,FALSE),J14),"")</x:f>
        <x:v>0.2</x:v>
      </x:c>
      <x:c r="M14" s="64" t="n">
        <x:f>IF(D14="shiftable",IF(K14="",VLOOKUP(D14,load_parameters!$A$8:$F$10,5,FALSE),K14),"")</x:f>
        <x:v>1.55</x:v>
      </x:c>
      <x:c r="N14" s="59" t="str">
        <x:f>VLOOKUP(D14,load_parameters!$A$8:$J$10,7,FALSE)</x:f>
        <x:v>L3</x:v>
      </x:c>
      <x:c r="O14" s="65" t="n">
        <x:f>IF(D14="shiftable",0,1-E14)</x:f>
        <x:v>0</x:v>
      </x:c>
      <x:c r="P14" s="65" t="n">
        <x:f>IF(D14="shiftable",0,E14)</x:f>
        <x:v>0</x:v>
      </x:c>
      <x:c r="Q14" s="65" t="n">
        <x:f>IF(D14="shiftable",1,0)</x:f>
        <x:v>1</x:v>
      </x:c>
    </x:row>
    <x:row r="15" ht="42" customHeight="1">
      <x:c r="A15" s="59" t="n">
        <x:v>13</x:v>
      </x:c>
      <x:c r="B15" s="62" t="n">
        <x:f>G15/SUMIFS($G$2:$G$34,$H$2:$H$34,H15)</x:f>
        <x:v>0.15147265077138852</x:v>
      </x:c>
      <x:c r="C15" s="59" t="str">
        <x:v>MG1</x:v>
      </x:c>
      <x:c r="D15" s="59" t="str">
        <x:v>shiftable</x:v>
      </x:c>
      <x:c r="E15" s="59" t="str">
        <x:f>IF(D15="shiftable","",VLOOKUP(D15,load_parameters!$A$8:$F$10,3,FALSE))</x:f>
      </x:c>
      <x:c r="F15" s="59" t="str">
        <x:f>IF(D15="shiftable","["&amp;TEXT(L15,"0.00")&amp;", "&amp;TEXT(M15,"0.00")&amp;"]","")</x:f>
        <x:v>[0.20, 1.55]</x:v>
      </x:c>
      <x:c r="G15" s="63" t="n">
        <x:v>1.026</x:v>
      </x:c>
      <x:c r="H15" s="59" t="str">
        <x:f>IF(D15="shiftable","shift","shed")</x:f>
        <x:v>shift</x:v>
      </x:c>
      <x:c r="I15" s="64" t="n">
        <x:f>VLOOKUP(D15,load_parameters!$A$8:$F$10,2,FALSE)</x:f>
        <x:v>0.95</x:v>
      </x:c>
      <x:c r="J15" s="64"/>
      <x:c r="K15" s="64"/>
      <x:c r="L15" s="64" t="n">
        <x:f>IF(D15="shiftable",IF(J15="",VLOOKUP(D15,load_parameters!$A$8:$F$10,4,FALSE),J15),"")</x:f>
        <x:v>0.2</x:v>
      </x:c>
      <x:c r="M15" s="64" t="n">
        <x:f>IF(D15="shiftable",IF(K15="",VLOOKUP(D15,load_parameters!$A$8:$F$10,5,FALSE),K15),"")</x:f>
        <x:v>1.55</x:v>
      </x:c>
      <x:c r="N15" s="59" t="str">
        <x:f>VLOOKUP(D15,load_parameters!$A$8:$J$10,7,FALSE)</x:f>
        <x:v>L3</x:v>
      </x:c>
      <x:c r="O15" s="65" t="n">
        <x:f>IF(D15="shiftable",0,1-E15)</x:f>
        <x:v>0</x:v>
      </x:c>
      <x:c r="P15" s="65" t="n">
        <x:f>IF(D15="shiftable",0,E15)</x:f>
        <x:v>0</x:v>
      </x:c>
      <x:c r="Q15" s="65" t="n">
        <x:f>IF(D15="shiftable",1,0)</x:f>
        <x:v>1</x:v>
      </x:c>
    </x:row>
    <x:row r="16" ht="42" customHeight="1">
      <x:c r="A16" s="59" t="n">
        <x:v>14</x:v>
      </x:c>
      <x:c r="B16" s="62" t="n">
        <x:f>G16/SUMIFS($G$2:$G$34,$H$2:$H$34,H16)</x:f>
        <x:v>0.036498817167962154</x:v>
      </x:c>
      <x:c r="C16" s="59" t="str">
        <x:v>MG1</x:v>
      </x:c>
      <x:c r="D16" s="59" t="str">
        <x:v>sheddable</x:v>
      </x:c>
      <x:c r="E16" s="59" t="n">
        <x:f>IF(D16="shiftable","",VLOOKUP(D16,load_parameters!$A$8:$F$10,3,FALSE))</x:f>
        <x:v>1</x:v>
      </x:c>
      <x:c r="F16" s="59" t="str">
        <x:f>IF(D16="shiftable","["&amp;TEXT(L16,"0.00")&amp;", "&amp;TEXT(M16,"0.00")&amp;"]","")</x:f>
      </x:c>
      <x:c r="G16" s="63" t="n">
        <x:v>1.08</x:v>
      </x:c>
      <x:c r="H16" s="59" t="str">
        <x:f>IF(D16="shiftable","shift","shed")</x:f>
        <x:v>shed</x:v>
      </x:c>
      <x:c r="I16" s="64" t="n">
        <x:f>VLOOKUP(D16,load_parameters!$A$8:$F$10,2,FALSE)</x:f>
        <x:v>1</x:v>
      </x:c>
      <x:c r="J16" s="64"/>
      <x:c r="K16" s="64"/>
      <x:c r="L16" s="64" t="str">
        <x:f>IF(D16="shiftable",IF(J16="",VLOOKUP(D16,load_parameters!$A$8:$F$10,4,FALSE),J16),"")</x:f>
      </x:c>
      <x:c r="M16" s="64" t="str">
        <x:f>IF(D16="shiftable",IF(K16="",VLOOKUP(D16,load_parameters!$A$8:$F$10,5,FALSE),K16),"")</x:f>
      </x:c>
      <x:c r="N16" s="59" t="str">
        <x:f>VLOOKUP(D16,load_parameters!$A$8:$J$10,7,FALSE)</x:f>
        <x:v>L2</x:v>
      </x:c>
      <x:c r="O16" s="65" t="n">
        <x:f>IF(D16="shiftable",0,1-E16)</x:f>
        <x:v>0</x:v>
      </x:c>
      <x:c r="P16" s="65" t="n">
        <x:f>IF(D16="shiftable",0,E16)</x:f>
        <x:v>1</x:v>
      </x:c>
      <x:c r="Q16" s="65" t="n">
        <x:f>IF(D16="shiftable",1,0)</x:f>
        <x:v>0</x:v>
      </x:c>
    </x:row>
    <x:row r="17" ht="42" customHeight="1">
      <x:c r="A17" s="59" t="n">
        <x:v>15</x:v>
      </x:c>
      <x:c r="B17" s="62" t="n">
        <x:f>G17/SUMIFS($G$2:$G$34,$H$2:$H$34,H17)</x:f>
        <x:v>0.049273403176748914</x:v>
      </x:c>
      <x:c r="C17" s="59" t="str">
        <x:v>MG1</x:v>
      </x:c>
      <x:c r="D17" s="59" t="str">
        <x:v>sheddable + critical</x:v>
      </x:c>
      <x:c r="E17" s="59" t="n">
        <x:f>IF(D17="shiftable","",VLOOKUP(D17,load_parameters!$A$8:$F$10,3,FALSE))</x:f>
        <x:v>0.4</x:v>
      </x:c>
      <x:c r="F17" s="59" t="str">
        <x:f>IF(D17="shiftable","["&amp;TEXT(L17,"0.00")&amp;", "&amp;TEXT(M17,"0.00")&amp;"]","")</x:f>
      </x:c>
      <x:c r="G17" s="63" t="n">
        <x:v>1.4580000000000002</x:v>
      </x:c>
      <x:c r="H17" s="59" t="str">
        <x:f>IF(D17="shiftable","shift","shed")</x:f>
        <x:v>shed</x:v>
      </x:c>
      <x:c r="I17" s="64" t="n">
        <x:f>VLOOKUP(D17,load_parameters!$A$8:$F$10,2,FALSE)</x:f>
        <x:v>1.35</x:v>
      </x:c>
      <x:c r="J17" s="64"/>
      <x:c r="K17" s="64"/>
      <x:c r="L17" s="64" t="str">
        <x:f>IF(D17="shiftable",IF(J17="",VLOOKUP(D17,load_parameters!$A$8:$F$10,4,FALSE),J17),"")</x:f>
      </x:c>
      <x:c r="M17" s="64" t="str">
        <x:f>IF(D17="shiftable",IF(K17="",VLOOKUP(D17,load_parameters!$A$8:$F$10,5,FALSE),K17),"")</x:f>
      </x:c>
      <x:c r="N17" s="59" t="str">
        <x:f>VLOOKUP(D17,load_parameters!$A$8:$J$10,7,FALSE)</x:f>
        <x:v>L1 + L2</x:v>
      </x:c>
      <x:c r="O17" s="65" t="n">
        <x:f>IF(D17="shiftable",0,1-E17)</x:f>
        <x:v>0.6</x:v>
      </x:c>
      <x:c r="P17" s="65" t="n">
        <x:f>IF(D17="shiftable",0,E17)</x:f>
        <x:v>0.4</x:v>
      </x:c>
      <x:c r="Q17" s="65" t="n">
        <x:f>IF(D17="shiftable",1,0)</x:f>
        <x:v>0</x:v>
      </x:c>
    </x:row>
    <x:row r="18" ht="42" customHeight="1">
      <x:c r="A18" s="59" t="n">
        <x:v>16</x:v>
      </x:c>
      <x:c r="B18" s="62" t="n">
        <x:f>G18/SUMIFS($G$2:$G$34,$H$2:$H$34,H18)</x:f>
        <x:v>0.036498817167962154</x:v>
      </x:c>
      <x:c r="C18" s="59" t="str">
        <x:v>MG1</x:v>
      </x:c>
      <x:c r="D18" s="59" t="str">
        <x:v>sheddable</x:v>
      </x:c>
      <x:c r="E18" s="59" t="n">
        <x:f>IF(D18="shiftable","",VLOOKUP(D18,load_parameters!$A$8:$F$10,3,FALSE))</x:f>
        <x:v>1</x:v>
      </x:c>
      <x:c r="F18" s="59" t="str">
        <x:f>IF(D18="shiftable","["&amp;TEXT(L18,"0.00")&amp;", "&amp;TEXT(M18,"0.00")&amp;"]","")</x:f>
      </x:c>
      <x:c r="G18" s="63" t="n">
        <x:v>1.08</x:v>
      </x:c>
      <x:c r="H18" s="59" t="str">
        <x:f>IF(D18="shiftable","shift","shed")</x:f>
        <x:v>shed</x:v>
      </x:c>
      <x:c r="I18" s="64" t="n">
        <x:f>VLOOKUP(D18,load_parameters!$A$8:$F$10,2,FALSE)</x:f>
        <x:v>1</x:v>
      </x:c>
      <x:c r="J18" s="64"/>
      <x:c r="K18" s="64"/>
      <x:c r="L18" s="64" t="str">
        <x:f>IF(D18="shiftable",IF(J18="",VLOOKUP(D18,load_parameters!$A$8:$F$10,4,FALSE),J18),"")</x:f>
      </x:c>
      <x:c r="M18" s="64" t="str">
        <x:f>IF(D18="shiftable",IF(K18="",VLOOKUP(D18,load_parameters!$A$8:$F$10,5,FALSE),K18),"")</x:f>
      </x:c>
      <x:c r="N18" s="59" t="str">
        <x:f>VLOOKUP(D18,load_parameters!$A$8:$J$10,7,FALSE)</x:f>
        <x:v>L2</x:v>
      </x:c>
      <x:c r="O18" s="65" t="n">
        <x:f>IF(D18="shiftable",0,1-E18)</x:f>
        <x:v>0</x:v>
      </x:c>
      <x:c r="P18" s="65" t="n">
        <x:f>IF(D18="shiftable",0,E18)</x:f>
        <x:v>1</x:v>
      </x:c>
      <x:c r="Q18" s="65" t="n">
        <x:f>IF(D18="shiftable",1,0)</x:f>
        <x:v>0</x:v>
      </x:c>
    </x:row>
    <x:row r="19" ht="42" customHeight="1">
      <x:c r="A19" s="59" t="n">
        <x:v>17</x:v>
      </x:c>
      <x:c r="B19" s="62" t="n">
        <x:f>G19/SUMIFS($G$2:$G$34,$H$2:$H$34,H19)</x:f>
        <x:v>0.036498817167962154</x:v>
      </x:c>
      <x:c r="C19" s="59" t="str">
        <x:v>MG1</x:v>
      </x:c>
      <x:c r="D19" s="59" t="str">
        <x:v>sheddable</x:v>
      </x:c>
      <x:c r="E19" s="59" t="n">
        <x:f>IF(D19="shiftable","",VLOOKUP(D19,load_parameters!$A$8:$F$10,3,FALSE))</x:f>
        <x:v>1</x:v>
      </x:c>
      <x:c r="F19" s="59" t="str">
        <x:f>IF(D19="shiftable","["&amp;TEXT(L19,"0.00")&amp;", "&amp;TEXT(M19,"0.00")&amp;"]","")</x:f>
      </x:c>
      <x:c r="G19" s="63" t="n">
        <x:v>1.08</x:v>
      </x:c>
      <x:c r="H19" s="59" t="str">
        <x:f>IF(D19="shiftable","shift","shed")</x:f>
        <x:v>shed</x:v>
      </x:c>
      <x:c r="I19" s="64" t="n">
        <x:f>VLOOKUP(D19,load_parameters!$A$8:$F$10,2,FALSE)</x:f>
        <x:v>1</x:v>
      </x:c>
      <x:c r="J19" s="64"/>
      <x:c r="K19" s="64"/>
      <x:c r="L19" s="64" t="str">
        <x:f>IF(D19="shiftable",IF(J19="",VLOOKUP(D19,load_parameters!$A$8:$F$10,4,FALSE),J19),"")</x:f>
      </x:c>
      <x:c r="M19" s="64" t="str">
        <x:f>IF(D19="shiftable",IF(K19="",VLOOKUP(D19,load_parameters!$A$8:$F$10,5,FALSE),K19),"")</x:f>
      </x:c>
      <x:c r="N19" s="59" t="str">
        <x:f>VLOOKUP(D19,load_parameters!$A$8:$J$10,7,FALSE)</x:f>
        <x:v>L2</x:v>
      </x:c>
      <x:c r="O19" s="65" t="n">
        <x:f>IF(D19="shiftable",0,1-E19)</x:f>
        <x:v>0</x:v>
      </x:c>
      <x:c r="P19" s="65" t="n">
        <x:f>IF(D19="shiftable",0,E19)</x:f>
        <x:v>1</x:v>
      </x:c>
      <x:c r="Q19" s="65" t="n">
        <x:f>IF(D19="shiftable",1,0)</x:f>
        <x:v>0</x:v>
      </x:c>
    </x:row>
    <x:row r="20" ht="42" customHeight="1">
      <x:c r="A20" s="59" t="n">
        <x:v>18</x:v>
      </x:c>
      <x:c r="B20" s="62" t="n">
        <x:f>G20/SUMIFS($G$2:$G$34,$H$2:$H$34,H20)</x:f>
        <x:v>0.040148698884758374</x:v>
      </x:c>
      <x:c r="C20" s="59" t="str">
        <x:v>MG4</x:v>
      </x:c>
      <x:c r="D20" s="59" t="str">
        <x:v>sheddable + critical</x:v>
      </x:c>
      <x:c r="E20" s="59" t="n">
        <x:f>IF(D20="shiftable","",VLOOKUP(D20,load_parameters!$A$8:$F$10,3,FALSE))</x:f>
        <x:v>0.4</x:v>
      </x:c>
      <x:c r="F20" s="59" t="str">
        <x:f>IF(D20="shiftable","["&amp;TEXT(L20,"0.00")&amp;", "&amp;TEXT(M20,"0.00")&amp;"]","")</x:f>
      </x:c>
      <x:c r="G20" s="63" t="n">
        <x:v>1.1880000000000002</x:v>
      </x:c>
      <x:c r="H20" s="59" t="str">
        <x:f>IF(D20="shiftable","shift","shed")</x:f>
        <x:v>shed</x:v>
      </x:c>
      <x:c r="I20" s="64" t="n">
        <x:f>VLOOKUP(D20,load_parameters!$A$8:$F$10,2,FALSE)</x:f>
        <x:v>1.35</x:v>
      </x:c>
      <x:c r="J20" s="64"/>
      <x:c r="K20" s="64"/>
      <x:c r="L20" s="64" t="str">
        <x:f>IF(D20="shiftable",IF(J20="",VLOOKUP(D20,load_parameters!$A$8:$F$10,4,FALSE),J20),"")</x:f>
      </x:c>
      <x:c r="M20" s="64" t="str">
        <x:f>IF(D20="shiftable",IF(K20="",VLOOKUP(D20,load_parameters!$A$8:$F$10,5,FALSE),K20),"")</x:f>
      </x:c>
      <x:c r="N20" s="59" t="str">
        <x:f>VLOOKUP(D20,load_parameters!$A$8:$J$10,7,FALSE)</x:f>
        <x:v>L1 + L2</x:v>
      </x:c>
      <x:c r="O20" s="65" t="n">
        <x:f>IF(D20="shiftable",0,1-E20)</x:f>
        <x:v>0.6</x:v>
      </x:c>
      <x:c r="P20" s="65" t="n">
        <x:f>IF(D20="shiftable",0,E20)</x:f>
        <x:v>0.4</x:v>
      </x:c>
      <x:c r="Q20" s="65" t="n">
        <x:f>IF(D20="shiftable",1,0)</x:f>
        <x:v>0</x:v>
      </x:c>
    </x:row>
    <x:row r="21" ht="42" customHeight="1">
      <x:c r="A21" s="59" t="n">
        <x:v>19</x:v>
      </x:c>
      <x:c r="B21" s="62" t="n">
        <x:f>G21/SUMIFS($G$2:$G$34,$H$2:$H$34,H21)</x:f>
        <x:v>0.12342215988779805</x:v>
      </x:c>
      <x:c r="C21" s="59" t="str">
        <x:v>MG4</x:v>
      </x:c>
      <x:c r="D21" s="59" t="str">
        <x:v>shiftable</x:v>
      </x:c>
      <x:c r="E21" s="59" t="str">
        <x:f>IF(D21="shiftable","",VLOOKUP(D21,load_parameters!$A$8:$F$10,3,FALSE))</x:f>
      </x:c>
      <x:c r="F21" s="59" t="str">
        <x:f>IF(D21="shiftable","["&amp;TEXT(L21,"0.00")&amp;", "&amp;TEXT(M21,"0.00")&amp;"]","")</x:f>
        <x:v>[0.20, 1.45]</x:v>
      </x:c>
      <x:c r="G21" s="63" t="n">
        <x:v>0.836</x:v>
      </x:c>
      <x:c r="H21" s="59" t="str">
        <x:f>IF(D21="shiftable","shift","shed")</x:f>
        <x:v>shift</x:v>
      </x:c>
      <x:c r="I21" s="64" t="n">
        <x:f>VLOOKUP(D21,load_parameters!$A$8:$F$10,2,FALSE)</x:f>
        <x:v>0.95</x:v>
      </x:c>
      <x:c r="J21" s="64"/>
      <x:c r="K21" s="64" t="n">
        <x:v>1.45</x:v>
      </x:c>
      <x:c r="L21" s="64" t="n">
        <x:f>IF(D21="shiftable",IF(J21="",VLOOKUP(D21,load_parameters!$A$8:$F$10,4,FALSE),J21),"")</x:f>
        <x:v>0.2</x:v>
      </x:c>
      <x:c r="M21" s="64" t="n">
        <x:f>IF(D21="shiftable",IF(K21="",VLOOKUP(D21,load_parameters!$A$8:$F$10,5,FALSE),K21),"")</x:f>
        <x:v>1.45</x:v>
      </x:c>
      <x:c r="N21" s="59" t="str">
        <x:f>VLOOKUP(D21,load_parameters!$A$8:$J$10,7,FALSE)</x:f>
        <x:v>L3</x:v>
      </x:c>
      <x:c r="O21" s="65" t="n">
        <x:f>IF(D21="shiftable",0,1-E21)</x:f>
        <x:v>0</x:v>
      </x:c>
      <x:c r="P21" s="65" t="n">
        <x:f>IF(D21="shiftable",0,E21)</x:f>
        <x:v>0</x:v>
      </x:c>
      <x:c r="Q21" s="65" t="n">
        <x:f>IF(D21="shiftable",1,0)</x:f>
        <x:v>1</x:v>
      </x:c>
    </x:row>
    <x:row r="22" ht="42" customHeight="1">
      <x:c r="A22" s="59" t="n">
        <x:v>20</x:v>
      </x:c>
      <x:c r="B22" s="62" t="n">
        <x:f>G22/SUMIFS($G$2:$G$34,$H$2:$H$34,H22)</x:f>
        <x:v>0.029739776951672868</x:v>
      </x:c>
      <x:c r="C22" s="59" t="str">
        <x:v>MG4</x:v>
      </x:c>
      <x:c r="D22" s="59" t="str">
        <x:v>sheddable</x:v>
      </x:c>
      <x:c r="E22" s="59" t="n">
        <x:f>IF(D22="shiftable","",VLOOKUP(D22,load_parameters!$A$8:$F$10,3,FALSE))</x:f>
        <x:v>1</x:v>
      </x:c>
      <x:c r="F22" s="59" t="str">
        <x:f>IF(D22="shiftable","["&amp;TEXT(L22,"0.00")&amp;", "&amp;TEXT(M22,"0.00")&amp;"]","")</x:f>
      </x:c>
      <x:c r="G22" s="63" t="n">
        <x:v>0.88</x:v>
      </x:c>
      <x:c r="H22" s="59" t="str">
        <x:f>IF(D22="shiftable","shift","shed")</x:f>
        <x:v>shed</x:v>
      </x:c>
      <x:c r="I22" s="64" t="n">
        <x:f>VLOOKUP(D22,load_parameters!$A$8:$F$10,2,FALSE)</x:f>
        <x:v>1</x:v>
      </x:c>
      <x:c r="J22" s="64"/>
      <x:c r="K22" s="64"/>
      <x:c r="L22" s="64" t="str">
        <x:f>IF(D22="shiftable",IF(J22="",VLOOKUP(D22,load_parameters!$A$8:$F$10,4,FALSE),J22),"")</x:f>
      </x:c>
      <x:c r="M22" s="64" t="str">
        <x:f>IF(D22="shiftable",IF(K22="",VLOOKUP(D22,load_parameters!$A$8:$F$10,5,FALSE),K22),"")</x:f>
      </x:c>
      <x:c r="N22" s="59" t="str">
        <x:f>VLOOKUP(D22,load_parameters!$A$8:$J$10,7,FALSE)</x:f>
        <x:v>L2</x:v>
      </x:c>
      <x:c r="O22" s="65" t="n">
        <x:f>IF(D22="shiftable",0,1-E22)</x:f>
        <x:v>0</x:v>
      </x:c>
      <x:c r="P22" s="65" t="n">
        <x:f>IF(D22="shiftable",0,E22)</x:f>
        <x:v>1</x:v>
      </x:c>
      <x:c r="Q22" s="65" t="n">
        <x:f>IF(D22="shiftable",1,0)</x:f>
        <x:v>0</x:v>
      </x:c>
    </x:row>
    <x:row r="23" ht="42" customHeight="1">
      <x:c r="A23" s="59" t="n">
        <x:v>21</x:v>
      </x:c>
      <x:c r="B23" s="62" t="n">
        <x:f>G23/SUMIFS($G$2:$G$34,$H$2:$H$34,H23)</x:f>
        <x:v>0.029739776951672868</x:v>
      </x:c>
      <x:c r="C23" s="59" t="str">
        <x:v>MG4</x:v>
      </x:c>
      <x:c r="D23" s="59" t="str">
        <x:v>sheddable</x:v>
      </x:c>
      <x:c r="E23" s="59" t="n">
        <x:f>IF(D23="shiftable","",VLOOKUP(D23,load_parameters!$A$8:$F$10,3,FALSE))</x:f>
        <x:v>1</x:v>
      </x:c>
      <x:c r="F23" s="59" t="str">
        <x:f>IF(D23="shiftable","["&amp;TEXT(L23,"0.00")&amp;", "&amp;TEXT(M23,"0.00")&amp;"]","")</x:f>
      </x:c>
      <x:c r="G23" s="63" t="n">
        <x:v>0.88</x:v>
      </x:c>
      <x:c r="H23" s="59" t="str">
        <x:f>IF(D23="shiftable","shift","shed")</x:f>
        <x:v>shed</x:v>
      </x:c>
      <x:c r="I23" s="64" t="n">
        <x:f>VLOOKUP(D23,load_parameters!$A$8:$F$10,2,FALSE)</x:f>
        <x:v>1</x:v>
      </x:c>
      <x:c r="J23" s="64"/>
      <x:c r="K23" s="64"/>
      <x:c r="L23" s="64" t="str">
        <x:f>IF(D23="shiftable",IF(J23="",VLOOKUP(D23,load_parameters!$A$8:$F$10,4,FALSE),J23),"")</x:f>
      </x:c>
      <x:c r="M23" s="64" t="str">
        <x:f>IF(D23="shiftable",IF(K23="",VLOOKUP(D23,load_parameters!$A$8:$F$10,5,FALSE),K23),"")</x:f>
      </x:c>
      <x:c r="N23" s="59" t="str">
        <x:f>VLOOKUP(D23,load_parameters!$A$8:$J$10,7,FALSE)</x:f>
        <x:v>L2</x:v>
      </x:c>
      <x:c r="O23" s="65" t="n">
        <x:f>IF(D23="shiftable",0,1-E23)</x:f>
        <x:v>0</x:v>
      </x:c>
      <x:c r="P23" s="65" t="n">
        <x:f>IF(D23="shiftable",0,E23)</x:f>
        <x:v>1</x:v>
      </x:c>
      <x:c r="Q23" s="65" t="n">
        <x:f>IF(D23="shiftable",1,0)</x:f>
        <x:v>0</x:v>
      </x:c>
    </x:row>
    <x:row r="24" ht="42" customHeight="1">
      <x:c r="A24" s="59" t="n">
        <x:v>22</x:v>
      </x:c>
      <x:c r="B24" s="62" t="n">
        <x:f>G24/SUMIFS($G$2:$G$34,$H$2:$H$34,H24)</x:f>
        <x:v>0.16129032258064516</x:v>
      </x:c>
      <x:c r="C24" s="59" t="str">
        <x:v>MG3</x:v>
      </x:c>
      <x:c r="D24" s="59" t="str">
        <x:v>shiftable</x:v>
      </x:c>
      <x:c r="E24" s="59" t="str">
        <x:f>IF(D24="shiftable","",VLOOKUP(D24,load_parameters!$A$8:$F$10,3,FALSE))</x:f>
      </x:c>
      <x:c r="F24" s="59" t="str">
        <x:f>IF(D24="shiftable","["&amp;TEXT(L24,"0.00")&amp;", "&amp;TEXT(M24,"0.00")&amp;"]","")</x:f>
        <x:v>[0.20, 1.45]</x:v>
      </x:c>
      <x:c r="G24" s="63" t="n">
        <x:v>1.0924999999999998</x:v>
      </x:c>
      <x:c r="H24" s="59" t="str">
        <x:f>IF(D24="shiftable","shift","shed")</x:f>
        <x:v>shift</x:v>
      </x:c>
      <x:c r="I24" s="64" t="n">
        <x:f>VLOOKUP(D24,load_parameters!$A$8:$F$10,2,FALSE)</x:f>
        <x:v>0.95</x:v>
      </x:c>
      <x:c r="J24" s="64"/>
      <x:c r="K24" s="64" t="n">
        <x:v>1.45</x:v>
      </x:c>
      <x:c r="L24" s="64" t="n">
        <x:f>IF(D24="shiftable",IF(J24="",VLOOKUP(D24,load_parameters!$A$8:$F$10,4,FALSE),J24),"")</x:f>
        <x:v>0.2</x:v>
      </x:c>
      <x:c r="M24" s="64" t="n">
        <x:f>IF(D24="shiftable",IF(K24="",VLOOKUP(D24,load_parameters!$A$8:$F$10,5,FALSE),K24),"")</x:f>
        <x:v>1.45</x:v>
      </x:c>
      <x:c r="N24" s="59" t="str">
        <x:f>VLOOKUP(D24,load_parameters!$A$8:$J$10,7,FALSE)</x:f>
        <x:v>L3</x:v>
      </x:c>
      <x:c r="O24" s="65" t="n">
        <x:f>IF(D24="shiftable",0,1-E24)</x:f>
        <x:v>0</x:v>
      </x:c>
      <x:c r="P24" s="65" t="n">
        <x:f>IF(D24="shiftable",0,E24)</x:f>
        <x:v>0</x:v>
      </x:c>
      <x:c r="Q24" s="65" t="n">
        <x:f>IF(D24="shiftable",1,0)</x:f>
        <x:v>1</x:v>
      </x:c>
    </x:row>
    <x:row r="25" ht="42" customHeight="1">
      <x:c r="A25" s="59" t="n">
        <x:v>23</x:v>
      </x:c>
      <x:c r="B25" s="62" t="n">
        <x:f>G25/SUMIFS($G$2:$G$34,$H$2:$H$34,H25)</x:f>
        <x:v>0.052467049678945596</x:v>
      </x:c>
      <x:c r="C25" s="59" t="str">
        <x:v>MG3</x:v>
      </x:c>
      <x:c r="D25" s="59" t="str">
        <x:v>sheddable + critical</x:v>
      </x:c>
      <x:c r="E25" s="59" t="n">
        <x:f>IF(D25="shiftable","",VLOOKUP(D25,load_parameters!$A$8:$F$10,3,FALSE))</x:f>
        <x:v>0.4</x:v>
      </x:c>
      <x:c r="F25" s="59" t="str">
        <x:f>IF(D25="shiftable","["&amp;TEXT(L25,"0.00")&amp;", "&amp;TEXT(M25,"0.00")&amp;"]","")</x:f>
      </x:c>
      <x:c r="G25" s="63" t="n">
        <x:v>1.5525</x:v>
      </x:c>
      <x:c r="H25" s="59" t="str">
        <x:f>IF(D25="shiftable","shift","shed")</x:f>
        <x:v>shed</x:v>
      </x:c>
      <x:c r="I25" s="64" t="n">
        <x:f>VLOOKUP(D25,load_parameters!$A$8:$F$10,2,FALSE)</x:f>
        <x:v>1.35</x:v>
      </x:c>
      <x:c r="J25" s="64"/>
      <x:c r="K25" s="64"/>
      <x:c r="L25" s="64" t="str">
        <x:f>IF(D25="shiftable",IF(J25="",VLOOKUP(D25,load_parameters!$A$8:$F$10,4,FALSE),J25),"")</x:f>
      </x:c>
      <x:c r="M25" s="64" t="str">
        <x:f>IF(D25="shiftable",IF(K25="",VLOOKUP(D25,load_parameters!$A$8:$F$10,5,FALSE),K25),"")</x:f>
      </x:c>
      <x:c r="N25" s="59" t="str">
        <x:f>VLOOKUP(D25,load_parameters!$A$8:$J$10,7,FALSE)</x:f>
        <x:v>L1 + L2</x:v>
      </x:c>
      <x:c r="O25" s="65" t="n">
        <x:f>IF(D25="shiftable",0,1-E25)</x:f>
        <x:v>0.6</x:v>
      </x:c>
      <x:c r="P25" s="65" t="n">
        <x:f>IF(D25="shiftable",0,E25)</x:f>
        <x:v>0.4</x:v>
      </x:c>
      <x:c r="Q25" s="65" t="n">
        <x:f>IF(D25="shiftable",1,0)</x:f>
        <x:v>0</x:v>
      </x:c>
    </x:row>
    <x:row r="26" ht="42" customHeight="1">
      <x:c r="A26" s="59" t="n">
        <x:v>24</x:v>
      </x:c>
      <x:c r="B26" s="62" t="n">
        <x:f>G26/SUMIFS($G$2:$G$34,$H$2:$H$34,H26)</x:f>
        <x:v>0.052467049678945596</x:v>
      </x:c>
      <x:c r="C26" s="59" t="str">
        <x:v>MG3</x:v>
      </x:c>
      <x:c r="D26" s="59" t="str">
        <x:v>sheddable + critical</x:v>
      </x:c>
      <x:c r="E26" s="59" t="n">
        <x:f>IF(D26="shiftable","",VLOOKUP(D26,load_parameters!$A$8:$F$10,3,FALSE))</x:f>
        <x:v>0.4</x:v>
      </x:c>
      <x:c r="F26" s="59" t="str">
        <x:f>IF(D26="shiftable","["&amp;TEXT(L26,"0.00")&amp;", "&amp;TEXT(M26,"0.00")&amp;"]","")</x:f>
      </x:c>
      <x:c r="G26" s="63" t="n">
        <x:v>1.5525</x:v>
      </x:c>
      <x:c r="H26" s="59" t="str">
        <x:f>IF(D26="shiftable","shift","shed")</x:f>
        <x:v>shed</x:v>
      </x:c>
      <x:c r="I26" s="64" t="n">
        <x:f>VLOOKUP(D26,load_parameters!$A$8:$F$10,2,FALSE)</x:f>
        <x:v>1.35</x:v>
      </x:c>
      <x:c r="J26" s="64"/>
      <x:c r="K26" s="64"/>
      <x:c r="L26" s="64" t="str">
        <x:f>IF(D26="shiftable",IF(J26="",VLOOKUP(D26,load_parameters!$A$8:$F$10,4,FALSE),J26),"")</x:f>
      </x:c>
      <x:c r="M26" s="64" t="str">
        <x:f>IF(D26="shiftable",IF(K26="",VLOOKUP(D26,load_parameters!$A$8:$F$10,5,FALSE),K26),"")</x:f>
      </x:c>
      <x:c r="N26" s="59" t="str">
        <x:f>VLOOKUP(D26,load_parameters!$A$8:$J$10,7,FALSE)</x:f>
        <x:v>L1 + L2</x:v>
      </x:c>
      <x:c r="O26" s="65" t="n">
        <x:f>IF(D26="shiftable",0,1-E26)</x:f>
        <x:v>0.6</x:v>
      </x:c>
      <x:c r="P26" s="65" t="n">
        <x:f>IF(D26="shiftable",0,E26)</x:f>
        <x:v>0.4</x:v>
      </x:c>
      <x:c r="Q26" s="65" t="n">
        <x:f>IF(D26="shiftable",1,0)</x:f>
        <x:v>0</x:v>
      </x:c>
    </x:row>
    <x:row r="27" ht="42" customHeight="1">
      <x:c r="A27" s="59" t="n">
        <x:v>25</x:v>
      </x:c>
      <x:c r="B27" s="62" t="n">
        <x:f>G27/SUMIFS($G$2:$G$34,$H$2:$H$34,H27)</x:f>
        <x:v>0.045623521459952694</x:v>
      </x:c>
      <x:c r="C27" s="59" t="str">
        <x:v>DN</x:v>
      </x:c>
      <x:c r="D27" s="59" t="str">
        <x:v>sheddable + critical</x:v>
      </x:c>
      <x:c r="E27" s="59" t="n">
        <x:f>IF(D27="shiftable","",VLOOKUP(D27,load_parameters!$A$8:$F$10,3,FALSE))</x:f>
        <x:v>0.4</x:v>
      </x:c>
      <x:c r="F27" s="59" t="str">
        <x:f>IF(D27="shiftable","["&amp;TEXT(L27,"0.00")&amp;", "&amp;TEXT(M27,"0.00")&amp;"]","")</x:f>
      </x:c>
      <x:c r="G27" s="63" t="n">
        <x:v>1.35</x:v>
      </x:c>
      <x:c r="H27" s="59" t="str">
        <x:f>IF(D27="shiftable","shift","shed")</x:f>
        <x:v>shed</x:v>
      </x:c>
      <x:c r="I27" s="64" t="n">
        <x:f>VLOOKUP(D27,load_parameters!$A$8:$F$10,2,FALSE)</x:f>
        <x:v>1.35</x:v>
      </x:c>
      <x:c r="J27" s="64"/>
      <x:c r="K27" s="64"/>
      <x:c r="L27" s="64" t="str">
        <x:f>IF(D27="shiftable",IF(J27="",VLOOKUP(D27,load_parameters!$A$8:$F$10,4,FALSE),J27),"")</x:f>
      </x:c>
      <x:c r="M27" s="64" t="str">
        <x:f>IF(D27="shiftable",IF(K27="",VLOOKUP(D27,load_parameters!$A$8:$F$10,5,FALSE),K27),"")</x:f>
      </x:c>
      <x:c r="N27" s="59" t="str">
        <x:f>VLOOKUP(D27,load_parameters!$A$8:$J$10,7,FALSE)</x:f>
        <x:v>L1 + L2</x:v>
      </x:c>
      <x:c r="O27" s="65" t="n">
        <x:f>IF(D27="shiftable",0,1-E27)</x:f>
        <x:v>0.6</x:v>
      </x:c>
      <x:c r="P27" s="65" t="n">
        <x:f>IF(D27="shiftable",0,E27)</x:f>
        <x:v>0.4</x:v>
      </x:c>
      <x:c r="Q27" s="65" t="n">
        <x:f>IF(D27="shiftable",1,0)</x:f>
        <x:v>0</x:v>
      </x:c>
    </x:row>
    <x:row r="28" ht="42" customHeight="1">
      <x:c r="A28" s="59" t="n">
        <x:v>26</x:v>
      </x:c>
      <x:c r="B28" s="62" t="n">
        <x:f>G28/SUMIFS($G$2:$G$34,$H$2:$H$34,H28)</x:f>
        <x:v>0.03379520108144644</x:v>
      </x:c>
      <x:c r="C28" s="59" t="str">
        <x:v>DN</x:v>
      </x:c>
      <x:c r="D28" s="59" t="str">
        <x:v>sheddable</x:v>
      </x:c>
      <x:c r="E28" s="59" t="n">
        <x:f>IF(D28="shiftable","",VLOOKUP(D28,load_parameters!$A$8:$F$10,3,FALSE))</x:f>
        <x:v>1</x:v>
      </x:c>
      <x:c r="F28" s="59" t="str">
        <x:f>IF(D28="shiftable","["&amp;TEXT(L28,"0.00")&amp;", "&amp;TEXT(M28,"0.00")&amp;"]","")</x:f>
      </x:c>
      <x:c r="G28" s="63" t="n">
        <x:v>1</x:v>
      </x:c>
      <x:c r="H28" s="59" t="str">
        <x:f>IF(D28="shiftable","shift","shed")</x:f>
        <x:v>shed</x:v>
      </x:c>
      <x:c r="I28" s="64" t="n">
        <x:f>VLOOKUP(D28,load_parameters!$A$8:$F$10,2,FALSE)</x:f>
        <x:v>1</x:v>
      </x:c>
      <x:c r="J28" s="64"/>
      <x:c r="K28" s="64"/>
      <x:c r="L28" s="64" t="str">
        <x:f>IF(D28="shiftable",IF(J28="",VLOOKUP(D28,load_parameters!$A$8:$F$10,4,FALSE),J28),"")</x:f>
      </x:c>
      <x:c r="M28" s="64" t="str">
        <x:f>IF(D28="shiftable",IF(K28="",VLOOKUP(D28,load_parameters!$A$8:$F$10,5,FALSE),K28),"")</x:f>
      </x:c>
      <x:c r="N28" s="59" t="str">
        <x:f>VLOOKUP(D28,load_parameters!$A$8:$J$10,7,FALSE)</x:f>
        <x:v>L2</x:v>
      </x:c>
      <x:c r="O28" s="65" t="n">
        <x:f>IF(D28="shiftable",0,1-E28)</x:f>
        <x:v>0</x:v>
      </x:c>
      <x:c r="P28" s="65" t="n">
        <x:f>IF(D28="shiftable",0,E28)</x:f>
        <x:v>1</x:v>
      </x:c>
      <x:c r="Q28" s="65" t="n">
        <x:f>IF(D28="shiftable",1,0)</x:f>
        <x:v>0</x:v>
      </x:c>
    </x:row>
    <x:row r="29" ht="42" customHeight="1">
      <x:c r="A29" s="59" t="n">
        <x:v>27</x:v>
      </x:c>
      <x:c r="B29" s="62" t="n">
        <x:f>G29/SUMIFS($G$2:$G$34,$H$2:$H$34,H29)</x:f>
        <x:v>0.03379520108144644</x:v>
      </x:c>
      <x:c r="C29" s="59" t="str">
        <x:v>DN</x:v>
      </x:c>
      <x:c r="D29" s="59" t="str">
        <x:v>sheddable</x:v>
      </x:c>
      <x:c r="E29" s="59" t="n">
        <x:f>IF(D29="shiftable","",VLOOKUP(D29,load_parameters!$A$8:$F$10,3,FALSE))</x:f>
        <x:v>1</x:v>
      </x:c>
      <x:c r="F29" s="59" t="str">
        <x:f>IF(D29="shiftable","["&amp;TEXT(L29,"0.00")&amp;", "&amp;TEXT(M29,"0.00")&amp;"]","")</x:f>
      </x:c>
      <x:c r="G29" s="63" t="n">
        <x:v>1</x:v>
      </x:c>
      <x:c r="H29" s="59" t="str">
        <x:f>IF(D29="shiftable","shift","shed")</x:f>
        <x:v>shed</x:v>
      </x:c>
      <x:c r="I29" s="64" t="n">
        <x:f>VLOOKUP(D29,load_parameters!$A$8:$F$10,2,FALSE)</x:f>
        <x:v>1</x:v>
      </x:c>
      <x:c r="J29" s="64"/>
      <x:c r="K29" s="64"/>
      <x:c r="L29" s="64" t="str">
        <x:f>IF(D29="shiftable",IF(J29="",VLOOKUP(D29,load_parameters!$A$8:$F$10,4,FALSE),J29),"")</x:f>
      </x:c>
      <x:c r="M29" s="64" t="str">
        <x:f>IF(D29="shiftable",IF(K29="",VLOOKUP(D29,load_parameters!$A$8:$F$10,5,FALSE),K29),"")</x:f>
      </x:c>
      <x:c r="N29" s="59" t="str">
        <x:f>VLOOKUP(D29,load_parameters!$A$8:$J$10,7,FALSE)</x:f>
        <x:v>L2</x:v>
      </x:c>
      <x:c r="O29" s="65" t="n">
        <x:f>IF(D29="shiftable",0,1-E29)</x:f>
        <x:v>0</x:v>
      </x:c>
      <x:c r="P29" s="65" t="n">
        <x:f>IF(D29="shiftable",0,E29)</x:f>
        <x:v>1</x:v>
      </x:c>
      <x:c r="Q29" s="65" t="n">
        <x:f>IF(D29="shiftable",1,0)</x:f>
        <x:v>0</x:v>
      </x:c>
    </x:row>
    <x:row r="30" ht="42" customHeight="1">
      <x:c r="A30" s="59" t="n">
        <x:v>28</x:v>
      </x:c>
      <x:c r="B30" s="62" t="n">
        <x:f>G30/SUMIFS($G$2:$G$34,$H$2:$H$34,H30)</x:f>
        <x:v>0.04288611017235553</x:v>
      </x:c>
      <x:c r="C30" s="59" t="str">
        <x:v>MG2</x:v>
      </x:c>
      <x:c r="D30" s="59" t="str">
        <x:v>sheddable + critical</x:v>
      </x:c>
      <x:c r="E30" s="59" t="n">
        <x:f>IF(D30="shiftable","",VLOOKUP(D30,load_parameters!$A$8:$F$10,3,FALSE))</x:f>
        <x:v>0.4</x:v>
      </x:c>
      <x:c r="F30" s="59" t="str">
        <x:f>IF(D30="shiftable","["&amp;TEXT(L30,"0.00")&amp;", "&amp;TEXT(M30,"0.00")&amp;"]","")</x:f>
      </x:c>
      <x:c r="G30" s="63" t="n">
        <x:v>1.269</x:v>
      </x:c>
      <x:c r="H30" s="59" t="str">
        <x:f>IF(D30="shiftable","shift","shed")</x:f>
        <x:v>shed</x:v>
      </x:c>
      <x:c r="I30" s="64" t="n">
        <x:f>VLOOKUP(D30,load_parameters!$A$8:$F$10,2,FALSE)</x:f>
        <x:v>1.35</x:v>
      </x:c>
      <x:c r="J30" s="64"/>
      <x:c r="K30" s="64"/>
      <x:c r="L30" s="64" t="str">
        <x:f>IF(D30="shiftable",IF(J30="",VLOOKUP(D30,load_parameters!$A$8:$F$10,4,FALSE),J30),"")</x:f>
      </x:c>
      <x:c r="M30" s="64" t="str">
        <x:f>IF(D30="shiftable",IF(K30="",VLOOKUP(D30,load_parameters!$A$8:$F$10,5,FALSE),K30),"")</x:f>
      </x:c>
      <x:c r="N30" s="59" t="str">
        <x:f>VLOOKUP(D30,load_parameters!$A$8:$J$10,7,FALSE)</x:f>
        <x:v>L1 + L2</x:v>
      </x:c>
      <x:c r="O30" s="65" t="n">
        <x:f>IF(D30="shiftable",0,1-E30)</x:f>
        <x:v>0.6</x:v>
      </x:c>
      <x:c r="P30" s="65" t="n">
        <x:f>IF(D30="shiftable",0,E30)</x:f>
        <x:v>0.4</x:v>
      </x:c>
      <x:c r="Q30" s="65" t="n">
        <x:f>IF(D30="shiftable",1,0)</x:f>
        <x:v>0</x:v>
      </x:c>
    </x:row>
    <x:row r="31" ht="42" customHeight="1">
      <x:c r="A31" s="59" t="n">
        <x:v>29</x:v>
      </x:c>
      <x:c r="B31" s="62" t="n">
        <x:f>G31/SUMIFS($G$2:$G$34,$H$2:$H$34,H31)</x:f>
        <x:v>0.03176748901655965</x:v>
      </x:c>
      <x:c r="C31" s="59" t="str">
        <x:v>MG2</x:v>
      </x:c>
      <x:c r="D31" s="59" t="str">
        <x:v>sheddable</x:v>
      </x:c>
      <x:c r="E31" s="59" t="n">
        <x:f>IF(D31="shiftable","",VLOOKUP(D31,load_parameters!$A$8:$F$10,3,FALSE))</x:f>
        <x:v>1</x:v>
      </x:c>
      <x:c r="F31" s="59" t="str">
        <x:f>IF(D31="shiftable","["&amp;TEXT(L31,"0.00")&amp;", "&amp;TEXT(M31,"0.00")&amp;"]","")</x:f>
      </x:c>
      <x:c r="G31" s="63" t="n">
        <x:v>0.94</x:v>
      </x:c>
      <x:c r="H31" s="59" t="str">
        <x:f>IF(D31="shiftable","shift","shed")</x:f>
        <x:v>shed</x:v>
      </x:c>
      <x:c r="I31" s="64" t="n">
        <x:f>VLOOKUP(D31,load_parameters!$A$8:$F$10,2,FALSE)</x:f>
        <x:v>1</x:v>
      </x:c>
      <x:c r="J31" s="64"/>
      <x:c r="K31" s="64"/>
      <x:c r="L31" s="64" t="str">
        <x:f>IF(D31="shiftable",IF(J31="",VLOOKUP(D31,load_parameters!$A$8:$F$10,4,FALSE),J31),"")</x:f>
      </x:c>
      <x:c r="M31" s="64" t="str">
        <x:f>IF(D31="shiftable",IF(K31="",VLOOKUP(D31,load_parameters!$A$8:$F$10,5,FALSE),K31),"")</x:f>
      </x:c>
      <x:c r="N31" s="59" t="str">
        <x:f>VLOOKUP(D31,load_parameters!$A$8:$J$10,7,FALSE)</x:f>
        <x:v>L2</x:v>
      </x:c>
      <x:c r="O31" s="65" t="n">
        <x:f>IF(D31="shiftable",0,1-E31)</x:f>
        <x:v>0</x:v>
      </x:c>
      <x:c r="P31" s="65" t="n">
        <x:f>IF(D31="shiftable",0,E31)</x:f>
        <x:v>1</x:v>
      </x:c>
      <x:c r="Q31" s="65" t="n">
        <x:f>IF(D31="shiftable",1,0)</x:f>
        <x:v>0</x:v>
      </x:c>
    </x:row>
    <x:row r="32" ht="42" customHeight="1">
      <x:c r="A32" s="59" t="n">
        <x:v>30</x:v>
      </x:c>
      <x:c r="B32" s="62" t="n">
        <x:f>G32/SUMIFS($G$2:$G$34,$H$2:$H$34,H32)</x:f>
        <x:v>0.13183730715287517</x:v>
      </x:c>
      <x:c r="C32" s="59" t="str">
        <x:v>MG2</x:v>
      </x:c>
      <x:c r="D32" s="59" t="str">
        <x:v>shiftable</x:v>
      </x:c>
      <x:c r="E32" s="59" t="str">
        <x:f>IF(D32="shiftable","",VLOOKUP(D32,load_parameters!$A$8:$F$10,3,FALSE))</x:f>
      </x:c>
      <x:c r="F32" s="59" t="str">
        <x:f>IF(D32="shiftable","["&amp;TEXT(L32,"0.00")&amp;", "&amp;TEXT(M32,"0.00")&amp;"]","")</x:f>
        <x:v>[0.20, 1.55]</x:v>
      </x:c>
      <x:c r="G32" s="63" t="n">
        <x:v>0.8929999999999999</x:v>
      </x:c>
      <x:c r="H32" s="59" t="str">
        <x:f>IF(D32="shiftable","shift","shed")</x:f>
        <x:v>shift</x:v>
      </x:c>
      <x:c r="I32" s="64" t="n">
        <x:f>VLOOKUP(D32,load_parameters!$A$8:$F$10,2,FALSE)</x:f>
        <x:v>0.95</x:v>
      </x:c>
      <x:c r="J32" s="64"/>
      <x:c r="K32" s="64"/>
      <x:c r="L32" s="64" t="n">
        <x:f>IF(D32="shiftable",IF(J32="",VLOOKUP(D32,load_parameters!$A$8:$F$10,4,FALSE),J32),"")</x:f>
        <x:v>0.2</x:v>
      </x:c>
      <x:c r="M32" s="64" t="n">
        <x:f>IF(D32="shiftable",IF(K32="",VLOOKUP(D32,load_parameters!$A$8:$F$10,5,FALSE),K32),"")</x:f>
        <x:v>1.55</x:v>
      </x:c>
      <x:c r="N32" s="59" t="str">
        <x:f>VLOOKUP(D32,load_parameters!$A$8:$J$10,7,FALSE)</x:f>
        <x:v>L3</x:v>
      </x:c>
      <x:c r="O32" s="65" t="n">
        <x:f>IF(D32="shiftable",0,1-E32)</x:f>
        <x:v>0</x:v>
      </x:c>
      <x:c r="P32" s="65" t="n">
        <x:f>IF(D32="shiftable",0,E32)</x:f>
        <x:v>0</x:v>
      </x:c>
      <x:c r="Q32" s="65" t="n">
        <x:f>IF(D32="shiftable",1,0)</x:f>
        <x:v>1</x:v>
      </x:c>
    </x:row>
    <x:row r="33" ht="42" customHeight="1">
      <x:c r="A33" s="59" t="n">
        <x:v>31</x:v>
      </x:c>
      <x:c r="B33" s="62" t="n">
        <x:f>G33/SUMIFS($G$2:$G$34,$H$2:$H$34,H33)</x:f>
        <x:v>0.03176748901655965</x:v>
      </x:c>
      <x:c r="C33" s="59" t="str">
        <x:v>MG2</x:v>
      </x:c>
      <x:c r="D33" s="59" t="str">
        <x:v>sheddable</x:v>
      </x:c>
      <x:c r="E33" s="59" t="n">
        <x:f>IF(D33="shiftable","",VLOOKUP(D33,load_parameters!$A$8:$F$10,3,FALSE))</x:f>
        <x:v>1</x:v>
      </x:c>
      <x:c r="F33" s="59" t="str">
        <x:f>IF(D33="shiftable","["&amp;TEXT(L33,"0.00")&amp;", "&amp;TEXT(M33,"0.00")&amp;"]","")</x:f>
      </x:c>
      <x:c r="G33" s="63" t="n">
        <x:v>0.94</x:v>
      </x:c>
      <x:c r="H33" s="59" t="str">
        <x:f>IF(D33="shiftable","shift","shed")</x:f>
        <x:v>shed</x:v>
      </x:c>
      <x:c r="I33" s="64" t="n">
        <x:f>VLOOKUP(D33,load_parameters!$A$8:$F$10,2,FALSE)</x:f>
        <x:v>1</x:v>
      </x:c>
      <x:c r="J33" s="64"/>
      <x:c r="K33" s="64"/>
      <x:c r="L33" s="64" t="str">
        <x:f>IF(D33="shiftable",IF(J33="",VLOOKUP(D33,load_parameters!$A$8:$F$10,4,FALSE),J33),"")</x:f>
      </x:c>
      <x:c r="M33" s="64" t="str">
        <x:f>IF(D33="shiftable",IF(K33="",VLOOKUP(D33,load_parameters!$A$8:$F$10,5,FALSE),K33),"")</x:f>
      </x:c>
      <x:c r="N33" s="59" t="str">
        <x:f>VLOOKUP(D33,load_parameters!$A$8:$J$10,7,FALSE)</x:f>
        <x:v>L2</x:v>
      </x:c>
      <x:c r="O33" s="65" t="n">
        <x:f>IF(D33="shiftable",0,1-E33)</x:f>
        <x:v>0</x:v>
      </x:c>
      <x:c r="P33" s="65" t="n">
        <x:f>IF(D33="shiftable",0,E33)</x:f>
        <x:v>1</x:v>
      </x:c>
      <x:c r="Q33" s="65" t="n">
        <x:f>IF(D33="shiftable",1,0)</x:f>
        <x:v>0</x:v>
      </x:c>
    </x:row>
    <x:row r="34" ht="42" customHeight="1">
      <x:c r="A34" s="59" t="n">
        <x:v>32</x:v>
      </x:c>
      <x:c r="B34" s="62" t="n">
        <x:f>G34/SUMIFS($G$2:$G$34,$H$2:$H$34,H34)</x:f>
        <x:v>0.03176748901655965</x:v>
      </x:c>
      <x:c r="C34" s="59" t="str">
        <x:v>MG2</x:v>
      </x:c>
      <x:c r="D34" s="59" t="str">
        <x:v>sheddable</x:v>
      </x:c>
      <x:c r="E34" s="59" t="n">
        <x:f>IF(D34="shiftable","",VLOOKUP(D34,load_parameters!$A$8:$F$10,3,FALSE))</x:f>
        <x:v>1</x:v>
      </x:c>
      <x:c r="F34" s="59" t="str">
        <x:f>IF(D34="shiftable","["&amp;TEXT(L34,"0.00")&amp;", "&amp;TEXT(M34,"0.00")&amp;"]","")</x:f>
      </x:c>
      <x:c r="G34" s="63" t="n">
        <x:v>0.94</x:v>
      </x:c>
      <x:c r="H34" s="59" t="str">
        <x:f>IF(D34="shiftable","shift","shed")</x:f>
        <x:v>shed</x:v>
      </x:c>
      <x:c r="I34" s="64" t="n">
        <x:f>VLOOKUP(D34,load_parameters!$A$8:$F$10,2,FALSE)</x:f>
        <x:v>1</x:v>
      </x:c>
      <x:c r="J34" s="64"/>
      <x:c r="K34" s="64"/>
      <x:c r="L34" s="64" t="str">
        <x:f>IF(D34="shiftable",IF(J34="",VLOOKUP(D34,load_parameters!$A$8:$F$10,4,FALSE),J34),"")</x:f>
      </x:c>
      <x:c r="M34" s="64" t="str">
        <x:f>IF(D34="shiftable",IF(K34="",VLOOKUP(D34,load_parameters!$A$8:$F$10,5,FALSE),K34),"")</x:f>
      </x:c>
      <x:c r="N34" s="59" t="str">
        <x:f>VLOOKUP(D34,load_parameters!$A$8:$J$10,7,FALSE)</x:f>
        <x:v>L2</x:v>
      </x:c>
      <x:c r="O34" s="65" t="n">
        <x:f>IF(D34="shiftable",0,1-E34)</x:f>
        <x:v>0</x:v>
      </x:c>
      <x:c r="P34" s="65" t="n">
        <x:f>IF(D34="shiftable",0,E34)</x:f>
        <x:v>1</x:v>
      </x:c>
      <x:c r="Q34" s="65" t="n">
        <x:f>IF(D34="shiftable",1,0)</x:f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9" defaultRowHeight="14.399999618530273"/>
  <x:sheetData>
    <x:row r="1">
      <x:c r="A1" s="1" t="s">
        <x:v>43</x:v>
      </x:c>
      <x:c r="B1" s="1" t="s">
        <x:v>44</x:v>
      </x:c>
      <x:c r="C1" s="1" t="s">
        <x:v>45</x:v>
      </x:c>
    </x:row>
    <x:row r="2">
      <x:c r="A2">
        <x:v>15</x:v>
      </x:c>
      <x:c r="B2">
        <x:v>5</x:v>
      </x:c>
      <x:c r="C2">
        <x:v>-5</x:v>
      </x:c>
    </x:row>
    <x:row r="3">
      <x:c r="A3">
        <x:v>29</x:v>
      </x:c>
      <x:c r="B3">
        <x:v>4</x:v>
      </x:c>
      <x:c r="C3">
        <x:v>-4</x:v>
      </x:c>
    </x:row>
    <x:row r="4">
      <x:c r="A4">
        <x:v>23</x:v>
      </x:c>
      <x:c r="B4">
        <x:v>3</x:v>
      </x:c>
      <x:c r="C4">
        <x:v>-3</x:v>
      </x:c>
    </x:row>
    <x:row r="5">
      <x:c r="A5">
        <x:v>20</x:v>
      </x:c>
      <x:c r="B5">
        <x:v>5</x:v>
      </x:c>
      <x:c r="C5">
        <x:v>-5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9" defaultRowHeight="14.399999618530273"/>
  <x:sheetData>
    <x:row r="1">
      <x:c r="A1" s="1" t="s">
        <x:v>46</x:v>
      </x:c>
      <x:c r="B1" s="1" t="s">
        <x:v>47</x:v>
      </x:c>
      <x:c r="C1" s="1" t="s">
        <x:v>48</x:v>
      </x:c>
    </x:row>
    <x:row r="2">
      <x:c r="A2">
        <x:v>0</x:v>
      </x:c>
      <x:c r="B2">
        <x:v>16.026065180656801</x:v>
      </x:c>
      <x:c r="C2">
        <x:v>0.42</x:v>
      </x:c>
    </x:row>
    <x:row r="3">
      <x:c r="A3">
        <x:v>1</x:v>
      </x:c>
      <x:c r="B3">
        <x:v>14.120663086410101</x:v>
      </x:c>
      <x:c r="C3">
        <x:v>0.42</x:v>
      </x:c>
    </x:row>
    <x:row r="4">
      <x:c r="A4">
        <x:v>2</x:v>
      </x:c>
      <x:c r="B4">
        <x:v>12.8051955772796</x:v>
      </x:c>
      <x:c r="C4">
        <x:v>0.42</x:v>
      </x:c>
    </x:row>
    <x:row r="5">
      <x:c r="A5">
        <x:v>3</x:v>
      </x:c>
      <x:c r="B5">
        <x:v>12.6726276387121</x:v>
      </x:c>
      <x:c r="C5">
        <x:v>0.42</x:v>
      </x:c>
    </x:row>
    <x:row r="6">
      <x:c r="A6">
        <x:v>4</x:v>
      </x:c>
      <x:c r="B6">
        <x:v>14.1110543819046</x:v>
      </x:c>
      <x:c r="C6">
        <x:v>0.42</x:v>
      </x:c>
    </x:row>
    <x:row r="7">
      <x:c r="A7">
        <x:v>5</x:v>
      </x:c>
      <x:c r="B7">
        <x:v>13.2262637512673</x:v>
      </x:c>
      <x:c r="C7">
        <x:v>0.42</x:v>
      </x:c>
    </x:row>
    <x:row r="8">
      <x:c r="A8">
        <x:v>6</x:v>
      </x:c>
      <x:c r="B8">
        <x:v>10.2067191288207</x:v>
      </x:c>
      <x:c r="C8">
        <x:v>0.34</x:v>
      </x:c>
    </x:row>
    <x:row r="9">
      <x:c r="A9">
        <x:v>7</x:v>
      </x:c>
      <x:c r="B9">
        <x:v>13.501255727338</x:v>
      </x:c>
      <x:c r="C9">
        <x:v>0.34</x:v>
      </x:c>
    </x:row>
    <x:row r="10">
      <x:c r="A10">
        <x:v>8</x:v>
      </x:c>
      <x:c r="B10">
        <x:v>16.068673832168901</x:v>
      </x:c>
      <x:c r="C10">
        <x:v>0.34</x:v>
      </x:c>
    </x:row>
    <x:row r="11">
      <x:c r="A11">
        <x:v>9</x:v>
      </x:c>
      <x:c r="B11">
        <x:v>18.883020074415398</x:v>
      </x:c>
      <x:c r="C11">
        <x:v>0.34</x:v>
      </x:c>
    </x:row>
    <x:row r="12">
      <x:c r="A12">
        <x:v>10</x:v>
      </x:c>
      <x:c r="B12">
        <x:v>23.317900345318002</x:v>
      </x:c>
      <x:c r="C12">
        <x:v>0.34</x:v>
      </x:c>
    </x:row>
    <x:row r="13">
      <x:c r="A13">
        <x:v>11</x:v>
      </x:c>
      <x:c r="B13">
        <x:v>26.691035002433001</x:v>
      </x:c>
      <x:c r="C13">
        <x:v>0.34</x:v>
      </x:c>
    </x:row>
    <x:row r="14">
      <x:c r="A14">
        <x:v>12</x:v>
      </x:c>
      <x:c r="B14">
        <x:v>24.265578205529</x:v>
      </x:c>
      <x:c r="C14">
        <x:v>0.3</x:v>
      </x:c>
    </x:row>
    <x:row r="15">
      <x:c r="A15">
        <x:v>13</x:v>
      </x:c>
      <x:c r="B15">
        <x:v>25.072689719926299</x:v>
      </x:c>
      <x:c r="C15">
        <x:v>0.3</x:v>
      </x:c>
    </x:row>
    <x:row r="16">
      <x:c r="A16">
        <x:v>14</x:v>
      </x:c>
      <x:c r="B16">
        <x:v>16.2822325513613</x:v>
      </x:c>
      <x:c r="C16">
        <x:v>0.18</x:v>
      </x:c>
    </x:row>
    <x:row r="17">
      <x:c r="A17">
        <x:v>15</x:v>
      </x:c>
      <x:c r="B17">
        <x:v>16.689852383160101</x:v>
      </x:c>
      <x:c r="C17">
        <x:v>0.18</x:v>
      </x:c>
    </x:row>
    <x:row r="18">
      <x:c r="A18">
        <x:v>16</x:v>
      </x:c>
      <x:c r="B18">
        <x:v>17.337739461151301</x:v>
      </x:c>
      <x:c r="C18">
        <x:v>0.18</x:v>
      </x:c>
    </x:row>
    <x:row r="19">
      <x:c r="A19">
        <x:v>17</x:v>
      </x:c>
      <x:c r="B19">
        <x:v>18</x:v>
      </x:c>
      <x:c r="C19">
        <x:v>0.18</x:v>
      </x:c>
    </x:row>
    <x:row r="20">
      <x:c r="A20">
        <x:v>18</x:v>
      </x:c>
      <x:c r="B20">
        <x:v>9.9</x:v>
      </x:c>
      <x:c r="C20">
        <x:v>0.18</x:v>
      </x:c>
    </x:row>
    <x:row r="21">
      <x:c r="A21">
        <x:v>19</x:v>
      </x:c>
      <x:c r="B21">
        <x:v>10.44</x:v>
      </x:c>
      <x:c r="C21">
        <x:v>0.18</x:v>
      </x:c>
    </x:row>
    <x:row r="22">
      <x:c r="A22">
        <x:v>20</x:v>
      </x:c>
      <x:c r="B22">
        <x:v>8.1</x:v>
      </x:c>
      <x:c r="C22">
        <x:v>0.18</x:v>
      </x:c>
    </x:row>
    <x:row r="23">
      <x:c r="A23">
        <x:v>21</x:v>
      </x:c>
      <x:c r="B23">
        <x:v>14.064573177163201</x:v>
      </x:c>
      <x:c r="C23">
        <x:v>0.26</x:v>
      </x:c>
    </x:row>
    <x:row r="24">
      <x:c r="A24">
        <x:v>22</x:v>
      </x:c>
      <x:c r="B24">
        <x:v>10.324489673846699</x:v>
      </x:c>
      <x:c r="C24">
        <x:v>0.26</x:v>
      </x:c>
    </x:row>
    <x:row r="25">
      <x:c r="A25">
        <x:v>23</x:v>
      </x:c>
      <x:c r="B25">
        <x:v>10.030494059984701</x:v>
      </x:c>
      <x:c r="C25">
        <x:v>0.26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2.5" hidden="0" customWidth="1"/>
    <x:col min="3" max="3" width="75" hidden="0" customWidth="1"/>
  </x:cols>
  <x:sheetData>
    <x:row r="1" ht="46" customHeight="1">
      <x:c r="A1" s="73" t="str">
        <x:v>topic</x:v>
      </x:c>
      <x:c r="B1" s="73" t="str">
        <x:v>rule</x:v>
      </x:c>
      <x:c r="C1" s="73" t="str">
        <x:v>maintenance</x:v>
      </x:c>
    </x:row>
    <x:row r="2" ht="46" customHeight="1">
      <x:c r="A2" s="74" t="str">
        <x:v>Workbook version</x:v>
      </x:c>
      <x:c r="B2" s="74" t="str">
        <x:v>Three renewable scenarios and one continuous ESS; 2026-09-17</x:v>
      </x:c>
      <x:c r="C2" s="74" t="str">
        <x:v>Physical inputs frozen; manuscript and original 33-bus comparisons refreshed</x:v>
      </x:c>
    </x:row>
    <x:row r="3" ht="46" customHeight="1">
      <x:c r="A3" s="74" t="str">
        <x:v>Integration status</x:v>
      </x:c>
      <x:c r="B3" s="74" t="str">
        <x:v>Storage, RenewableScenarios and RenewableRatings are active Python inputs</x:v>
      </x:c>
      <x:c r="C3" s="74" t="str">
        <x:v>General scalar parameters remain in ScenarioConfig; model_parameters is documentation only</x:v>
      </x:c>
    </x:row>
    <x:row r="4" ht="46" customHeight="1">
      <x:c r="A4" s="74" t="str">
        <x:v>Editing inputs</x:v>
      </x:c>
      <x:c r="B4" s="74" t="str">
        <x:v>Edit equipment and trajectory sheets; node_weight provides effective node weights and load classes</x:v>
      </x:c>
      <x:c r="C4" s="74" t="str">
        <x:v>model_parameters does not override Python; load_parameters only supplies referenced workbook formulas</x:v>
      </x:c>
    </x:row>
    <x:row r="5" ht="46" customHeight="1">
      <x:c r="A5" s="74" t="str">
        <x:v>Cost input</x:v>
      </x:c>
      <x:c r="B5" s="74" t="str">
        <x:v>curtailment_cost_weight is specified directly for each node</x:v>
      </x:c>
      <x:c r="C5" s="74" t="str">
        <x:v>Current numerical values retained; no regional multiplier is applied</x:v>
      </x:c>
    </x:row>
    <x:row r="6" ht="46" customHeight="1">
      <x:c r="A6" s="74" t="str">
        <x:v>Cost weight</x:v>
      </x:c>
      <x:c r="B6" s="74" t="str">
        <x:v>Node unit penalty = ScenarioConfig L2/L3 coefficient * node cost weight</x:v>
      </x:c>
      <x:c r="C6" s="74" t="str">
        <x:v>Defaults: 1200 / 700 CNY per MWh; load_parameters price notes do not override Python</x:v>
      </x:c>
    </x:row>
    <x:row r="7" ht="46" customHeight="1">
      <x:c r="A7" s="74" t="str">
        <x:v>Fairness weight</x:v>
      </x:c>
      <x:c r="B7" s="74" t="str">
        <x:v>fairness_weight=cost weight/SUM(cost weight) within shed or shift category</x:v>
      </x:c>
      <x:c r="C7" s="74" t="str">
        <x:v>Current normalization and values retained; do not compare weights across categories</x:v>
      </x:c>
    </x:row>
    <x:row r="8" ht="46" customHeight="1">
      <x:c r="A8" s="74" t="str">
        <x:v>Interpretation</x:v>
      </x:c>
      <x:c r="B8" s="74" t="str">
        <x:v>Cost weight prices unmet demand; fairness weight controls statistical influence</x:v>
      </x:c>
      <x:c r="C8" s="74" t="str">
        <x:v>Higher fairness weight does not guarantee higher served demand</x:v>
      </x:c>
    </x:row>
    <x:row r="9" ht="46" customHeight="1">
      <x:c r="A9" s="74" t="str">
        <x:v>Regional aggregation</x:v>
      </x:c>
      <x:c r="B9" s="74" t="str">
        <x:v>Regional statistical weight=sum of member LA weights</x:v>
      </x:c>
      <x:c r="C9" s="74" t="str">
        <x:v>Depends on number and composition of LAs; no equal regional quota</x:v>
      </x:c>
    </x:row>
    <x:row r="10" ht="46" customHeight="1">
      <x:c r="A10" s="74" t="str">
        <x:v>L1 / L2</x:v>
      </x:c>
      <x:c r="B10" s="74" t="str">
        <x:v>Protected L1 share=1-rho; L2 share=rho</x:v>
      </x:c>
      <x:c r="C10" s="74" t="str">
        <x:v>rho is maintained once in the LA profile</x:v>
      </x:c>
    </x:row>
    <x:row r="11" ht="46" customHeight="1">
      <x:c r="A11" s="74" t="str">
        <x:v>L3 window</x:v>
      </x:c>
      <x:c r="B11" s="74" t="str">
        <x:v>Effective bounds use profile defaults unless node J/K is filled</x:v>
      </x:c>
      <x:c r="C11" s="74" t="str">
        <x:v>Nodes 19/22 retain upper override; blank means use default; zero is a valid override</x:v>
      </x:c>
    </x:row>
    <x:row r="12" ht="46" customHeight="1">
      <x:c r="A12" s="74" t="str">
        <x:v>Reactive load</x:v>
      </x:c>
      <x:c r="B12" s="74" t="str">
        <x:v>Actual Q follows baseline Q/P of the same period</x:v>
      </x:c>
      <x:c r="C12" s="74" t="str">
        <x:v>Zero active and nonzero reactive baseline is invalid</x:v>
      </x:c>
    </x:row>
    <x:row r="13" ht="46" customHeight="1">
      <x:c r="A13" s="74" t="str">
        <x:v>Zero demand</x:v>
      </x:c>
      <x:c r="B13" s="74" t="str">
        <x:v>FDS=1 with positive statistical weight retained</x:v>
      </x:c>
      <x:c r="C13" s="74" t="str">
        <x:v>Skip groups with no relevant LA; between/within cones use zero-mean closure</x:v>
      </x:c>
    </x:row>
    <x:row r="14" ht="46" customHeight="1">
      <x:c r="A14" s="74" t="str">
        <x:v>Units</x:v>
      </x:c>
      <x:c r="B14" s="74" t="str">
        <x:v>Internal power is per-unit; energy=base_mva*dt_hour*power sum</x:v>
      </x:c>
      <x:c r="C14" s="74" t="str">
        <x:v>Switching penalty is action-based</x:v>
      </x:c>
    </x:row>
    <x:row r="15" ht="46" customHeight="1">
      <x:c r="A15" s="74" t="str">
        <x:v>SOP losses</x:v>
      </x:c>
      <x:c r="B15" s="74" t="str">
        <x:v>Existing sop sheet remains the source of terminal loss factors</x:v>
      </x:c>
      <x:c r="C15" s="74" t="str">
        <x:v>Additional loss penalty is beyond import/generation cost</x:v>
      </x:c>
    </x:row>
    <x:row r="16" ht="46" customHeight="1">
      <x:c r="A16" s="74" t="str">
        <x:v>Energy reporting</x:v>
      </x:c>
      <x:c r="B16" s="74" t="str">
        <x:v>A=dt*sum(max(P-D,0)); B=dt*sum(max(D-P,0)); unmet E=B-A</x:v>
      </x:c>
      <x:c r="C16" s="74" t="str">
        <x:v>shifted_in=A; shifted_out=B; curtailed/net_gap=E</x:v>
      </x:c>
    </x:row>
    <x:row r="17" ht="46" customHeight="1">
      <x:c r="A17" s="74" t="str">
        <x:v>Components output</x:v>
      </x:c>
      <x:c r="B17" s="74" t="str">
        <x:v>node_load_components and load_component_curves represent L1/L2/L3</x:v>
      </x:c>
      <x:c r="C17" s="74" t="str">
        <x:v>load_class_curves still represents LA categories</x:v>
      </x:c>
    </x:row>
    <x:row r="18" ht="46" customHeight="1">
      <x:c r="A18" s="74" t="str">
        <x:v>Recalculation</x:v>
      </x:c>
      <x:c r="B18" s="74" t="str">
        <x:v>Recalculate formulas and save in Excel before running the current Python reader</x:v>
      </x:c>
      <x:c r="C18" s="74" t="str">
        <x:v>Cached formula values must exist; do not use stale values</x:v>
      </x:c>
    </x:row>
    <x:row r="19" ht="46" customHeight="1">
      <x:c r="A19" s="74" t="str">
        <x:v>Rebuild warning</x:v>
      </x:c>
      <x:c r="B19" s="74" t="str">
        <x:v>Rebuild preserves node weights, DGOperating and existing scenario/storage tables</x:v>
      </x:c>
      <x:c r="C19" s="74" t="str">
        <x:v>Rebuild changes physical input curves; rerun all comparisons after rebuilding</x:v>
      </x:c>
    </x:row>
    <x:row r="20" ht="46" customHeight="1">
      <x:c r="A20" s="74" t="str">
        <x:v>Frozen scope</x:v>
      </x:c>
      <x:c r="B20" s="74" t="str">
        <x:v>33-bus three-scenario model and plots; 123-bus results retained as single-scenario/no-storage</x:v>
      </x:c>
      <x:c r="C20" s="74" t="str">
        <x:v>Total GE upper bound remains diagnostic, not an additional implemented constraint</x:v>
      </x:c>
    </x:row>
    <x:row r="21" ht="46" customHeight="1">
      <x:c r="A21" s="74" t="str">
        <x:v>LA types and load components</x:v>
      </x:c>
      <x:c r="B21" s="74" t="str">
        <x:v>load_type identifies LA categories; L1/L2/L3 identify demand components.</x:v>
      </x:c>
      <x:c r="C21" s="74" t="str">
        <x:v>node_weight columns N:Q automatically show load components and baseline demand shares, not optimized supply shares.</x:v>
      </x:c>
    </x:row>
    <x:row r="22" ht="46" customHeight="1">
      <x:c r="A22" s="74" t="str">
        <x:v>sheddable + critical</x:v>
      </x:c>
      <x:c r="B22" s="74" t="str">
        <x:v>L1 + L2: L1 share = 1 - ρ; L2 share = ρ, the maximum reduction ratio.</x:v>
      </x:c>
      <x:c r="C22" s="74" t="str">
        <x:v>Current ρ = 40%: 60% L1 + 40% L2. L1 must be fully supplied; L2 may be curtailed.</x:v>
      </x:c>
    </x:row>
    <x:row r="23" ht="46" customHeight="1">
      <x:c r="A23" s="74" t="str">
        <x:v>sheddable</x:v>
      </x:c>
      <x:c r="B23" s="74" t="str">
        <x:v>L2: Sheddable LA; current ρ = 100%.</x:v>
      </x:c>
      <x:c r="C23" s="74" t="str">
        <x:v>All demand is L2. Curtailment is permitted, not required.</x:v>
      </x:c>
    </x:row>
    <x:row r="24" ht="46" customHeight="1">
      <x:c r="A24" s="74" t="str">
        <x:v>shiftable</x:v>
      </x:c>
      <x:c r="B24" s="74" t="str">
        <x:v>L3: Shiftable LA; all demand is L3.</x:v>
      </x:c>
      <x:c r="C24" s="74" t="str">
        <x:v>Subject to per-period power bounds and horizon-wide energy constraints; unmet energy is penalized.</x:v>
      </x:c>
    </x:row>
    <x:row r="25" ht="46" customHeight="1">
      <x:c r="A25" s="74" t="str">
        <x:v>DG ramp and initial output</x:v>
      </x:c>
      <x:c r="B25" s="74" t="str">
        <x:v>DGOperating: up/down ramps and initial output = 50% of rated active capacity</x:v>
      </x:c>
      <x:c r="C25" s="74" t="str">
        <x:v>Research assumptions; MW/h and MW; not manufacturer data</x:v>
      </x:c>
    </x:row>
    <x:row r="26" ht="46" customHeight="1">
      <x:c r="A26" s="74" t="str">
        <x:v>DG ramp timing</x:v>
      </x:c>
      <x:c r="B26" s="74" t="str">
        <x:v>First period references pre-horizon initial output; later periods reference preceding dispatch</x:v>
      </x:c>
      <x:c r="C26" s="74" t="str">
        <x:v>Multiply MW/h by dt_hour; divide MW quantities by base_mva once</x:v>
      </x:c>
    </x:row>
    <x:row r="27" ht="46" customHeight="1">
      <x:c r="A27" s="74" t="str">
        <x:v>Reactive operation</x:v>
      </x:c>
      <x:c r="B27" s="74" t="str">
        <x:v>AC boundary Q and SOP local Q are enabled; MG compensation independently enabled</x:v>
      </x:c>
      <x:c r="C27" s="74" t="str">
        <x:v>SOP Q is local terminal support, not reactive transfer through the DC link</x:v>
      </x:c>
    </x:row>
    <x:row r="28" ht="46" customHeight="1">
      <x:c r="A28" s="74" t="str">
        <x:v>PV and WT reactive output</x:v>
      </x:c>
      <x:c r="B28" s="74" t="str">
        <x:v>Q_PV = Q_WT = 0; active output capped by forecast at all device nodes</x:v>
      </x:c>
      <x:c r="C28" s="74" t="str">
        <x:v>Unity power factor; no new inverter reactive capability assumed</x:v>
      </x:c>
    </x:row>
    <x:row r="29" ht="46" customHeight="1">
      <x:c r="A29" s="74" t="str">
        <x:v>DistFlow outer relaxation</x:v>
      </x:c>
      <x:c r="B29" s="74" t="str">
        <x:v>P^2+Q^2 &lt;= v_max*L; v_max is the squared voltage upper bound</x:v>
      </x:c>
      <x:c r="C29" s="74" t="str">
        <x:v>Standard SOC gap P^2+Q^2-V*L is a separate diagnostic, not a model violation</x:v>
      </x:c>
    </x:row>
    <x:row r="30" ht="46" customHeight="1">
      <x:c r="A30" s="74" t="str">
        <x:v>AC limits and losses</x:v>
      </x:c>
      <x:c r="B30" s="74" t="str">
        <x:v>P and Q component bounds apply to every AC branch; PCC losses counted once</x:v>
      </x:c>
      <x:c r="C30" s="74" t="str">
        <x:v>Line column 9 is a component-flow bound, not an apparent-power circle</x:v>
      </x:c>
    </x:row>
    <x:row r="31" ht="46" customHeight="1">
      <x:c r="A31" s="74" t="str">
        <x:v>DG apparent capacity</x:v>
      </x:c>
      <x:c r="B31" s="74" t="str">
        <x:v>Independent P/Q bounds; S_dgMax is used only for symmetric Q limits</x:v>
      </x:c>
      <x:c r="C31" s="74" t="str">
        <x:v>No DG apparent-power circle; Q limits at nodes 23/32 are +/-22 and +/-27 MVAr</x:v>
      </x:c>
    </x:row>
    <x:row r="32" ht="46" customHeight="1">
      <x:c r="A32" s="75" t="str">
        <x:v>Storage source</x:v>
      </x:c>
      <x:c r="B32" s="75" t="str">
        <x:v>Storage sheet is read directly; node 15, 2 MW / 8 MWh; no Q</x:v>
      </x:c>
      <x:c r="C32" s="75" t="str">
        <x:v>Per-scenario SOC closure; 50 CNY/MWh battery-side throughput; continuous hull constraint</x:v>
      </x:c>
    </x:row>
    <x:row r="33" ht="46" customHeight="1">
      <x:c r="A33" s="75" t="str">
        <x:v>Renewable scenario source</x:v>
      </x:c>
      <x:c r="B33" s="75" t="str">
        <x:v>RenewableScenarios directly sets probabilities and PV/WT multipliers</x:v>
      </x:c>
      <x:c r="C33" s="75" t="str">
        <x:v>0.25/0.50/0.25 and 0.96/1.00/1.04 for both sources; prescribed, not empirical</x:v>
      </x:c>
    </x:row>
    <x:row r="34" ht="46" customHeight="1">
      <x:c r="A34" s="75" t="str">
        <x:v>Renewable ratings source</x:v>
      </x:c>
      <x:c r="B34" s="75" t="str">
        <x:v>RenewableRatings caps every trajectory; nighttime PV remains zero</x:v>
      </x:c>
      <x:c r="C34" s="75" t="str">
        <x:v>PV 4/4/3.5/4.5 MW at 15/17/25/29; WT 5 MW at 20</x:v>
      </x:c>
    </x:row>
    <x:row r="35" ht="46" customHeight="1">
      <x:c r="A35" s="75" t="str">
        <x:v>Reporting convention</x:v>
      </x:c>
      <x:c r="B35" s="75" t="str">
        <x:v>Expected costs and energy; nonlinear metrics computed per scenario before weighting</x:v>
      </x:c>
      <x:c r="C35" s="75" t="str">
        <x:v>Raw sc_* tables retained; max physical residual checked across scenarios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1.25" hidden="0" customWidth="1"/>
    <x:col min="2" max="2" width="42.5" hidden="0" customWidth="1"/>
    <x:col min="3" max="3" width="20" hidden="0" customWidth="1"/>
    <x:col min="4" max="4" width="47.5" hidden="0" customWidth="1"/>
    <x:col min="5" max="5" width="48" hidden="0" customWidth="1"/>
  </x:cols>
  <x:sheetData>
    <x:row r="1" ht="46" customHeight="1">
      <x:c r="A1" s="73" t="str">
        <x:v>parameter</x:v>
      </x:c>
      <x:c r="B1" s="73" t="str">
        <x:v>value</x:v>
      </x:c>
      <x:c r="C1" s="73" t="str">
        <x:v>unit</x:v>
      </x:c>
      <x:c r="D1" s="73" t="str">
        <x:v>meaning</x:v>
      </x:c>
      <x:c r="E1" s="76" t="str">
        <x:v>effective_source</x:v>
      </x:c>
    </x:row>
    <x:row r="2" ht="46" customHeight="1">
      <x:c r="A2" s="74" t="str">
        <x:v>base_mva</x:v>
      </x:c>
      <x:c r="B2" s="74" t="n">
        <x:v>50</x:v>
      </x:c>
      <x:c r="C2" s="74" t="str">
        <x:v>MVA</x:v>
      </x:c>
      <x:c r="D2" s="74" t="str">
        <x:v>Power base</x:v>
      </x:c>
      <x:c r="E2" s="75" t="str">
        <x:v>ScenarioConfig</x:v>
      </x:c>
    </x:row>
    <x:row r="3" ht="46" customHeight="1">
      <x:c r="A3" s="74" t="str">
        <x:v>base_kv</x:v>
      </x:c>
      <x:c r="B3" s="74" t="n">
        <x:v>12.66</x:v>
      </x:c>
      <x:c r="C3" s="74" t="str">
        <x:v>kV</x:v>
      </x:c>
      <x:c r="D3" s="74" t="str">
        <x:v>Voltage base</x:v>
      </x:c>
      <x:c r="E3" s="75" t="str">
        <x:v>ScenarioConfig</x:v>
      </x:c>
    </x:row>
    <x:row r="4" ht="46" customHeight="1">
      <x:c r="A4" s="74" t="str">
        <x:v>dt_hour</x:v>
      </x:c>
      <x:c r="B4" s="74" t="n">
        <x:v>1</x:v>
      </x:c>
      <x:c r="C4" s="74" t="str">
        <x:v>h</x:v>
      </x:c>
      <x:c r="D4" s="74" t="str">
        <x:v>Period duration</x:v>
      </x:c>
      <x:c r="E4" s="75" t="str">
        <x:v>ScenarioConfig</x:v>
      </x:c>
    </x:row>
    <x:row r="5" ht="46" customHeight="1">
      <x:c r="A5" s="74" t="str">
        <x:v>c_buy</x:v>
      </x:c>
      <x:c r="B5" s="74" t="n">
        <x:v>220</x:v>
      </x:c>
      <x:c r="C5" s="74" t="str">
        <x:v>CNY/MWh</x:v>
      </x:c>
      <x:c r="D5" s="74" t="str">
        <x:v>Uniform import cost</x:v>
      </x:c>
      <x:c r="E5" s="75" t="str">
        <x:v>ScenarioConfig</x:v>
      </x:c>
    </x:row>
    <x:row r="6" ht="46" customHeight="1">
      <x:c r="A6" s="74" t="str">
        <x:v>c_dg</x:v>
      </x:c>
      <x:c r="B6" s="74" t="n">
        <x:v>180</x:v>
      </x:c>
      <x:c r="C6" s="74" t="str">
        <x:v>CNY/MWh</x:v>
      </x:c>
      <x:c r="D6" s="74" t="str">
        <x:v>Uniform DG cost</x:v>
      </x:c>
      <x:c r="E6" s="75" t="str">
        <x:v>ScenarioConfig</x:v>
      </x:c>
    </x:row>
    <x:row r="7" ht="46" customHeight="1">
      <x:c r="A7" s="74" t="str">
        <x:v>c_line_loss</x:v>
      </x:c>
      <x:c r="B7" s="74" t="n">
        <x:v>30</x:v>
      </x:c>
      <x:c r="C7" s="74" t="str">
        <x:v>CNY/MWh</x:v>
      </x:c>
      <x:c r="D7" s="74" t="str">
        <x:v>Additional line loss penalty</x:v>
      </x:c>
      <x:c r="E7" s="75" t="str">
        <x:v>ScenarioConfig</x:v>
      </x:c>
    </x:row>
    <x:row r="8" ht="46" customHeight="1">
      <x:c r="A8" s="74" t="str">
        <x:v>c_sop_loss</x:v>
      </x:c>
      <x:c r="B8" s="74" t="n">
        <x:v>10</x:v>
      </x:c>
      <x:c r="C8" s="74" t="str">
        <x:v>CNY/MWh</x:v>
      </x:c>
      <x:c r="D8" s="74" t="str">
        <x:v>Additional SOP loss penalty</x:v>
      </x:c>
      <x:c r="E8" s="75" t="str">
        <x:v>ScenarioConfig</x:v>
      </x:c>
    </x:row>
    <x:row r="9" ht="46" customHeight="1">
      <x:c r="A9" s="74" t="str">
        <x:v>switching_penalty</x:v>
      </x:c>
      <x:c r="B9" s="74" t="n">
        <x:v>3</x:v>
      </x:c>
      <x:c r="C9" s="74" t="str">
        <x:v>CNY/action</x:v>
      </x:c>
      <x:c r="D9" s="74" t="str">
        <x:v>Uniform switch action penalty</x:v>
      </x:c>
      <x:c r="E9" s="75" t="str">
        <x:v>Solver entry argument</x:v>
      </x:c>
    </x:row>
    <x:row r="10" ht="46" customHeight="1">
      <x:c r="A10" s="74" t="str">
        <x:v>switching_budget</x:v>
      </x:c>
      <x:c r="B10" s="74" t="n">
        <x:v>3</x:v>
      </x:c>
      <x:c r="C10" s="74" t="str">
        <x:v>actions/period</x:v>
      </x:c>
      <x:c r="D10" s="74" t="str">
        <x:v>Maximum adjacent-period actions</x:v>
      </x:c>
      <x:c r="E10" s="75" t="str">
        <x:v>Solver entry argument</x:v>
      </x:c>
    </x:row>
    <x:row r="11" ht="46" customHeight="1">
      <x:c r="A11" s="74" t="str">
        <x:v>eps_shed_between</x:v>
      </x:c>
      <x:c r="B11" s="74" t="n">
        <x:v>0.03</x:v>
      </x:c>
      <x:c r="C11" s="74" t="str">
        <x:v>dimensionless</x:v>
      </x:c>
      <x:c r="D11" s="74" t="str">
        <x:v>Between-group sheddable bound</x:v>
      </x:c>
      <x:c r="E11" s="75" t="str">
        <x:v>ScenarioConfig</x:v>
      </x:c>
    </x:row>
    <x:row r="12" ht="46" customHeight="1">
      <x:c r="A12" s="74" t="str">
        <x:v>eps_shed_within</x:v>
      </x:c>
      <x:c r="B12" s="74" t="n">
        <x:v>0.06</x:v>
      </x:c>
      <x:c r="C12" s="74" t="str">
        <x:v>dimensionless</x:v>
      </x:c>
      <x:c r="D12" s="74" t="str">
        <x:v>Within-group sheddable bound</x:v>
      </x:c>
      <x:c r="E12" s="75" t="str">
        <x:v>ScenarioConfig</x:v>
      </x:c>
    </x:row>
    <x:row r="13" ht="46" customHeight="1">
      <x:c r="A13" s="74" t="str">
        <x:v>eps_shift_between</x:v>
      </x:c>
      <x:c r="B13" s="74" t="n">
        <x:v>0.03</x:v>
      </x:c>
      <x:c r="C13" s="74" t="str">
        <x:v>dimensionless</x:v>
      </x:c>
      <x:c r="D13" s="74" t="str">
        <x:v>Between-group shiftable bound</x:v>
      </x:c>
      <x:c r="E13" s="75" t="str">
        <x:v>ScenarioConfig</x:v>
      </x:c>
    </x:row>
    <x:row r="14" ht="46" customHeight="1">
      <x:c r="A14" s="74" t="str">
        <x:v>eps_shift_within</x:v>
      </x:c>
      <x:c r="B14" s="74" t="n">
        <x:v>0.05</x:v>
      </x:c>
      <x:c r="C14" s="74" t="str">
        <x:v>dimensionless</x:v>
      </x:c>
      <x:c r="D14" s="74" t="str">
        <x:v>Within-group shiftable bound</x:v>
      </x:c>
      <x:c r="E14" s="75" t="str">
        <x:v>ScenarioConfig</x:v>
      </x:c>
    </x:row>
    <x:row r="15" ht="46" customHeight="1">
      <x:c r="A15" s="74" t="str">
        <x:v>parameter_source_status</x:v>
      </x:c>
      <x:c r="B15" s="74" t="str">
        <x:v>Documentation only</x:v>
      </x:c>
      <x:c r="C15" s="74" t="str"/>
      <x:c r="D15" s="74" t="str">
        <x:v>Python ScenarioConfig / solver entry arguments are authoritative</x:v>
      </x:c>
      <x:c r="E15" s="75" t="str">
        <x:v>Storage / RenewableScenarios / RenewableRatings read from workbook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18.75" hidden="0" customWidth="1"/>
    <x:col min="3" max="3" width="22.5" hidden="0" customWidth="1"/>
    <x:col min="4" max="4" width="22.5" hidden="0" customWidth="1"/>
    <x:col min="5" max="5" width="22.5" hidden="0" customWidth="1"/>
    <x:col min="6" max="6" width="45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</x:cols>
  <x:sheetData>
    <x:row r="1" ht="34" customHeight="1">
      <x:c r="A1" s="20" t="str">
        <x:v>component</x:v>
      </x:c>
      <x:c r="B1" s="20" t="str">
        <x:v>base_unmet_cost</x:v>
      </x:c>
      <x:c r="C1" s="20" t="str">
        <x:v>unit</x:v>
      </x:c>
      <x:c r="D1" s="20" t="str">
        <x:v>service_rule</x:v>
      </x:c>
      <x:c r="E1" s="20" t="str"/>
      <x:c r="F1" s="20" t="str"/>
    </x:row>
    <x:row r="2" ht="48" customHeight="1">
      <x:c r="A2" s="18" t="str">
        <x:v>L1</x:v>
      </x:c>
      <x:c r="B2" s="18"/>
      <x:c r="C2" s="18" t="str"/>
      <x:c r="D2" s="54" t="str">
        <x:v>Protected load; full supply required.</x:v>
      </x:c>
      <x:c r="E2" s="18" t="str"/>
      <x:c r="F2" s="18" t="str"/>
    </x:row>
    <x:row r="3" ht="48" customHeight="1">
      <x:c r="A3" s="18" t="str">
        <x:v>L2</x:v>
      </x:c>
      <x:c r="B3" s="18" t="n">
        <x:v>1200</x:v>
      </x:c>
      <x:c r="C3" s="18" t="str">
        <x:v>CNY/MWh</x:v>
      </x:c>
      <x:c r="D3" s="54" t="str">
        <x:v>Sheddable load; per-period curtailment penalty.</x:v>
      </x:c>
      <x:c r="E3" s="18" t="str"/>
      <x:c r="F3" s="18" t="str"/>
    </x:row>
    <x:row r="4" ht="48" customHeight="1">
      <x:c r="A4" s="18" t="str">
        <x:v>L3</x:v>
      </x:c>
      <x:c r="B4" s="18" t="n">
        <x:v>700</x:v>
      </x:c>
      <x:c r="C4" s="18" t="str">
        <x:v>CNY/MWh</x:v>
      </x:c>
      <x:c r="D4" s="54" t="str">
        <x:v>Shiftable load; penalty on unmet energy over the horizon.</x:v>
      </x:c>
      <x:c r="E4" s="18" t="str"/>
      <x:c r="F4" s="18" t="str"/>
    </x:row>
    <x:row r="5" ht="34" customHeight="1">
      <x:c r="A5" s="18" t="str"/>
      <x:c r="B5" s="18"/>
      <x:c r="C5" s="18" t="str"/>
      <x:c r="D5" s="18" t="str"/>
      <x:c r="E5" s="18" t="str"/>
      <x:c r="F5" s="18" t="str"/>
    </x:row>
    <x:row r="6" ht="34" customHeight="1">
      <x:c r="A6" s="54" t="str">
        <x:v>LA types and load components</x:v>
      </x:c>
      <x:c r="B6" s="18"/>
      <x:c r="C6" s="18" t="str"/>
      <x:c r="D6" s="18" t="str"/>
      <x:c r="E6" s="18" t="str"/>
      <x:c r="F6" s="18" t="str"/>
    </x:row>
    <x:row r="7" ht="42" customHeight="1">
      <x:c r="A7" s="20" t="str">
        <x:v>load_type</x:v>
      </x:c>
      <x:c r="B7" s="20" t="str">
        <x:v>priority_factor</x:v>
      </x:c>
      <x:c r="C7" s="20" t="str">
        <x:v>max_reduction_ratio</x:v>
      </x:c>
      <x:c r="D7" s="20" t="str">
        <x:v>shift_min_ratio</x:v>
      </x:c>
      <x:c r="E7" s="20" t="str">
        <x:v>shift_max_ratio</x:v>
      </x:c>
      <x:c r="F7" s="20" t="str">
        <x:v>meaning</x:v>
      </x:c>
      <x:c r="G7" s="52" t="str">
        <x:v>Load components</x:v>
      </x:c>
      <x:c r="H7" s="52" t="str">
        <x:v>L1 demand share</x:v>
      </x:c>
      <x:c r="I7" s="52" t="str">
        <x:v>L2 demand share</x:v>
      </x:c>
      <x:c r="J7" s="52" t="str">
        <x:v>L3 demand share</x:v>
      </x:c>
    </x:row>
    <x:row r="8" ht="48" customHeight="1">
      <x:c r="A8" s="18" t="str">
        <x:v>sheddable</x:v>
      </x:c>
      <x:c r="B8" s="18" t="n">
        <x:v>1</x:v>
      </x:c>
      <x:c r="C8" s="18" t="n">
        <x:v>1</x:v>
      </x:c>
      <x:c r="D8" s="18"/>
      <x:c r="E8" s="18"/>
      <x:c r="F8" s="54" t="str">
        <x:v>Sheddable LA; all demand is L2.</x:v>
      </x:c>
      <x:c r="G8" s="50" t="str">
        <x:v>L2</x:v>
      </x:c>
      <x:c r="H8" s="53" t="n">
        <x:f>1-C8</x:f>
        <x:v>0</x:v>
      </x:c>
      <x:c r="I8" s="53" t="n">
        <x:f>C8</x:f>
        <x:v>1</x:v>
      </x:c>
      <x:c r="J8" s="53" t="n">
        <x:f>0</x:f>
        <x:v>0</x:v>
      </x:c>
    </x:row>
    <x:row r="9" ht="48" customHeight="1">
      <x:c r="A9" s="18" t="str">
        <x:v>sheddable + critical</x:v>
      </x:c>
      <x:c r="B9" s="18" t="n">
        <x:v>1.35</x:v>
      </x:c>
      <x:c r="C9" s="18" t="n">
        <x:v>0.4</x:v>
      </x:c>
      <x:c r="D9" s="18"/>
      <x:c r="E9" s="18"/>
      <x:c r="F9" s="54" t="str">
        <x:v>Sheddable LA with critical demand; comprises L1 and L2.</x:v>
      </x:c>
      <x:c r="G9" s="50" t="str">
        <x:v>L1 + L2</x:v>
      </x:c>
      <x:c r="H9" s="53" t="n">
        <x:f>1-C9</x:f>
        <x:v>0.6</x:v>
      </x:c>
      <x:c r="I9" s="53" t="n">
        <x:f>C9</x:f>
        <x:v>0.4</x:v>
      </x:c>
      <x:c r="J9" s="53" t="n">
        <x:f>0</x:f>
        <x:v>0</x:v>
      </x:c>
    </x:row>
    <x:row r="10" ht="48" customHeight="1">
      <x:c r="A10" s="18" t="str">
        <x:v>shiftable</x:v>
      </x:c>
      <x:c r="B10" s="18" t="n">
        <x:v>0.95</x:v>
      </x:c>
      <x:c r="C10" s="18"/>
      <x:c r="D10" s="18" t="n">
        <x:v>0.2</x:v>
      </x:c>
      <x:c r="E10" s="18" t="n">
        <x:v>1.55</x:v>
      </x:c>
      <x:c r="F10" s="54" t="str">
        <x:v>Shiftable LA; all demand is L3. Node-specific power bounds may override defaults.</x:v>
      </x:c>
      <x:c r="G10" s="50" t="str">
        <x:v>L3</x:v>
      </x:c>
      <x:c r="H10" s="53" t="n">
        <x:f>0</x:f>
        <x:v>0</x:v>
      </x:c>
      <x:c r="I10" s="53" t="n">
        <x:f>0</x:f>
        <x:v>0</x:v>
      </x:c>
      <x:c r="J10" s="53" t="n">
        <x:f>1</x:f>
        <x:v>1</x:v>
      </x:c>
    </x:row>
  </x:sheetData>
  <x:mergeCells>
    <x:mergeCell ref="A6:F6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2" customHeight="1">
      <x:c r="A1" s="1" t="str">
        <x:v>node</x:v>
      </x:c>
      <x:c r="B1" s="1" t="str">
        <x:v>ramp_up_mw_per_hour</x:v>
      </x:c>
      <x:c r="C1" s="1" t="str">
        <x:v>ramp_down_mw_per_hour</x:v>
      </x:c>
      <x:c r="D1" s="1" t="str">
        <x:v>p_initial_mw</x:v>
      </x:c>
    </x:row>
    <x:row r="2">
      <x:c r="A2" t="n">
        <x:v>23</x:v>
      </x:c>
      <x:c r="B2" t="n">
        <x:v>9</x:v>
      </x:c>
      <x:c r="C2" t="n">
        <x:v>9</x:v>
      </x:c>
      <x:c r="D2" t="n">
        <x:v>9</x:v>
      </x:c>
    </x:row>
    <x:row r="3">
      <x:c r="A3" t="n">
        <x:v>32</x:v>
      </x:c>
      <x:c r="B3" t="n">
        <x:v>11</x:v>
      </x:c>
      <x:c r="C3" t="n">
        <x:v>11</x:v>
      </x:c>
      <x:c r="D3" t="n">
        <x:v>11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4" customHeight="1">
      <x:c r="A1" s="70" t="str">
        <x:v>node</x:v>
      </x:c>
      <x:c r="B1" s="70" t="str">
        <x:v>p_charge_mw</x:v>
      </x:c>
      <x:c r="C1" s="70" t="str">
        <x:v>p_discharge_mw</x:v>
      </x:c>
      <x:c r="D1" s="70" t="str">
        <x:v>energy_mwh</x:v>
      </x:c>
      <x:c r="E1" s="70" t="str">
        <x:v>eta_charge</x:v>
      </x:c>
      <x:c r="F1" s="70" t="str">
        <x:v>eta_discharge</x:v>
      </x:c>
      <x:c r="G1" s="70" t="str">
        <x:v>soc_min</x:v>
      </x:c>
      <x:c r="H1" s="70" t="str">
        <x:v>soc_max</x:v>
      </x:c>
      <x:c r="I1" s="70" t="str">
        <x:v>soc_initial</x:v>
      </x:c>
      <x:c r="J1" s="70" t="str">
        <x:v>throughput_cost</x:v>
      </x:c>
    </x:row>
    <x:row r="2" ht="20" customHeight="1">
      <x:c r="A2" s="67" t="n">
        <x:v>15</x:v>
      </x:c>
      <x:c r="B2" s="67" t="n">
        <x:v>2</x:v>
      </x:c>
      <x:c r="C2" s="67" t="n">
        <x:v>2</x:v>
      </x:c>
      <x:c r="D2" s="67" t="n">
        <x:v>8</x:v>
      </x:c>
      <x:c r="E2" s="67" t="n">
        <x:v>0.95</x:v>
      </x:c>
      <x:c r="F2" s="67" t="n">
        <x:v>0.95</x:v>
      </x:c>
      <x:c r="G2" s="67" t="n">
        <x:v>0.1</x:v>
      </x:c>
      <x:c r="H2" s="67" t="n">
        <x:v>0.9</x:v>
      </x:c>
      <x:c r="I2" s="67" t="n">
        <x:v>0.5</x:v>
      </x:c>
      <x:c r="J2" s="67" t="n">
        <x:v>50</x:v>
      </x:c>
    </x:row>
  </x:sheetData>
  <x:pageMargins left="0.7" right="0.7" top="0.75" bottom="0.75" header="0.3" footer="0.3"/>
</x:worksheet>
</file>

<file path=xl/worksheets/sheet18.xml><?xml version="1.0" encoding="utf-8"?>
<ns0:worksheet xmlns:ns0="http://schemas.openxmlformats.org/spreadsheetml/2006/main">
  <ns0:sheetFormatPr defaultRowHeight="15"/>
  <ns0:cols>
    <ns0:col min="1" max="1" width="20" hidden="0" customWidth="1"/>
    <ns0:col min="2" max="2" width="20" hidden="0" customWidth="1"/>
    <ns0:col min="3" max="3" width="20" hidden="0" customWidth="1"/>
    <ns0:col min="4" max="4" width="20" hidden="0" customWidth="1"/>
  </ns0:cols>
  <ns0:sheetData>
    <ns0:row r="1" ht="34" customHeight="1">
      <ns0:c r="A1" s="70" t="str">
        <ns0:v>scenario_id</ns0:v>
      </ns0:c>
      <ns0:c r="B1" s="70" t="str">
        <ns0:v>probability</ns0:v>
      </ns0:c>
      <ns0:c r="C1" s="70" t="str">
        <ns0:v>pv_factor</ns0:v>
      </ns0:c>
      <ns0:c r="D1" s="70" t="str">
        <ns0:v>wind_factor</ns0:v>
      </ns0:c>
    </ns0:row>
    <ns0:row r="2" ht="20" customHeight="1">
      <ns0:c r="A2" s="67" t="str">
        <ns0:v>low</ns0:v>
      </ns0:c>
      <ns0:c r="B2" s="67" t="n">
        <ns0:v>0.25</ns0:v>
      </ns0:c>
      <ns0:c r="C2" s="67" t="n">
        <ns0:v>.96</ns0:v>
      </ns0:c>
      <ns0:c r="D2" s="67" t="n">
        <ns0:v>.96</ns0:v>
      </ns0:c>
    </ns0:row>
    <ns0:row r="3" ht="20" customHeight="1">
      <ns0:c r="A3" s="67" t="str">
        <ns0:v>nominal</ns0:v>
      </ns0:c>
      <ns0:c r="B3" s="67" t="n">
        <ns0:v>0.5</ns0:v>
      </ns0:c>
      <ns0:c r="C3" s="67" t="n">
        <ns0:v>1</ns0:v>
      </ns0:c>
      <ns0:c r="D3" s="67" t="n">
        <ns0:v>1</ns0:v>
      </ns0:c>
    </ns0:row>
    <ns0:row r="4" ht="20" customHeight="1">
      <ns0:c r="A4" s="67" t="str">
        <ns0:v>high</ns0:v>
      </ns0:c>
      <ns0:c r="B4" s="67" t="n">
        <ns0:v>0.25</ns0:v>
      </ns0:c>
      <ns0:c r="C4" s="67" t="n">
        <ns0:v>1.04</ns0:v>
      </ns0:c>
      <ns0:c r="D4" s="67" t="n">
        <ns0:v>1.04</ns0:v>
      </ns0:c>
    </ns0:row>
  </ns0:sheetData>
  <ns0:pageMargins left="0.7" right="0.7" top="0.75" bottom="0.75" header="0.3" footer="0.3"/>
</ns0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4" customHeight="1">
      <x:c r="A1" s="70" t="str">
        <x:v>resource</x:v>
      </x:c>
      <x:c r="B1" s="70" t="str">
        <x:v>node</x:v>
      </x:c>
      <x:c r="C1" s="70" t="str">
        <x:v>capacity_mw</x:v>
      </x:c>
    </x:row>
    <x:row r="2" ht="20" customHeight="1">
      <x:c r="A2" s="67" t="str">
        <x:v>PV</x:v>
      </x:c>
      <x:c r="B2" s="67" t="n">
        <x:v>15</x:v>
      </x:c>
      <x:c r="C2" s="67" t="n">
        <x:v>4</x:v>
      </x:c>
    </x:row>
    <x:row r="3" ht="20" customHeight="1">
      <x:c r="A3" s="67" t="str">
        <x:v>PV</x:v>
      </x:c>
      <x:c r="B3" s="67" t="n">
        <x:v>17</x:v>
      </x:c>
      <x:c r="C3" s="67" t="n">
        <x:v>4</x:v>
      </x:c>
    </x:row>
    <x:row r="4" ht="20" customHeight="1">
      <x:c r="A4" s="67" t="str">
        <x:v>PV</x:v>
      </x:c>
      <x:c r="B4" s="67" t="n">
        <x:v>25</x:v>
      </x:c>
      <x:c r="C4" s="67" t="n">
        <x:v>3.5</x:v>
      </x:c>
    </x:row>
    <x:row r="5" ht="20" customHeight="1">
      <x:c r="A5" s="67" t="str">
        <x:v>PV</x:v>
      </x:c>
      <x:c r="B5" s="67" t="n">
        <x:v>29</x:v>
      </x:c>
      <x:c r="C5" s="67" t="n">
        <x:v>4.5</x:v>
      </x:c>
    </x:row>
    <x:row r="6" ht="20" customHeight="1">
      <x:c r="A6" s="67" t="str">
        <x:v>WT</x:v>
      </x:c>
      <x:c r="B6" s="67" t="n">
        <x:v>20</x:v>
      </x:c>
      <x:c r="C6" s="67" t="n">
        <x:v>5</x:v>
      </x:c>
    </x:row>
  </x:sheetData>
  <x:pageMargins left="0.7" right="0.7" top="0.75" bottom="0.75" header="0.3" footer="0.3"/>
</x:worksheet>
</file>